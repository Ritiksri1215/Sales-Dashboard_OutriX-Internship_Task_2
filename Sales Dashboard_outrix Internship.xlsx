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Ritik\Downloads\"/>
    </mc:Choice>
  </mc:AlternateContent>
  <xr:revisionPtr revIDLastSave="0" documentId="8_{53044D28-36CB-455C-B621-ECB0F3B48740}" xr6:coauthVersionLast="47" xr6:coauthVersionMax="47" xr10:uidLastSave="{00000000-0000-0000-0000-000000000000}"/>
  <bookViews>
    <workbookView xWindow="-108" yWindow="-108" windowWidth="23256" windowHeight="12456" activeTab="2" xr2:uid="{00000000-000D-0000-FFFF-FFFF00000000}"/>
  </bookViews>
  <sheets>
    <sheet name="Raw Data" sheetId="1" r:id="rId1"/>
    <sheet name="Clean Data" sheetId="7" r:id="rId2"/>
    <sheet name="Pivot Table" sheetId="9" r:id="rId3"/>
    <sheet name="Sales Dashboard" sheetId="12" r:id="rId4"/>
  </sheets>
  <definedNames>
    <definedName name="ExternalData_1" localSheetId="1" hidden="1">'Clean Data'!$A$1:$G$353</definedName>
    <definedName name="Slicer_Product">#N/A</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 i="9" l="1"/>
  <c r="H6" i="9"/>
  <c r="H4" i="9"/>
  <c r="H7" i="9"/>
  <c r="H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B2F277-0BC4-42BF-8F05-3987976288C9}"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<sst xmlns="http://schemas.openxmlformats.org/spreadsheetml/2006/main" count="2566" uniqueCount="68">
  <si>
    <t>Date</t>
  </si>
  <si>
    <t>Year</t>
  </si>
  <si>
    <t>Month</t>
  </si>
  <si>
    <t>Month Name</t>
  </si>
  <si>
    <t>Month-Year</t>
  </si>
  <si>
    <t>Region</t>
  </si>
  <si>
    <t>Product</t>
  </si>
  <si>
    <t>Units Sold</t>
  </si>
  <si>
    <t>Unit Price</t>
  </si>
  <si>
    <t>Revenue</t>
  </si>
  <si>
    <t>Profit</t>
  </si>
  <si>
    <t>Jan</t>
  </si>
  <si>
    <t>Feb</t>
  </si>
  <si>
    <t>Mar</t>
  </si>
  <si>
    <t>Apr</t>
  </si>
  <si>
    <t>May</t>
  </si>
  <si>
    <t>Jun</t>
  </si>
  <si>
    <t>Jul</t>
  </si>
  <si>
    <t>Aug</t>
  </si>
  <si>
    <t>Sep</t>
  </si>
  <si>
    <t>Oct</t>
  </si>
  <si>
    <t>Nov</t>
  </si>
  <si>
    <t>Dec</t>
  </si>
  <si>
    <t>Jan-2024</t>
  </si>
  <si>
    <t>Feb-2024</t>
  </si>
  <si>
    <t>Mar-2024</t>
  </si>
  <si>
    <t>Apr-2024</t>
  </si>
  <si>
    <t>May-2024</t>
  </si>
  <si>
    <t>Jun-2024</t>
  </si>
  <si>
    <t>Jul-2024</t>
  </si>
  <si>
    <t>Aug-2024</t>
  </si>
  <si>
    <t>Sep-2024</t>
  </si>
  <si>
    <t>Oct-2024</t>
  </si>
  <si>
    <t>Nov-2024</t>
  </si>
  <si>
    <t>Dec-2024</t>
  </si>
  <si>
    <t>Jan-2025</t>
  </si>
  <si>
    <t>Feb-2025</t>
  </si>
  <si>
    <t>Mar-2025</t>
  </si>
  <si>
    <t>Apr-2025</t>
  </si>
  <si>
    <t>May-2025</t>
  </si>
  <si>
    <t>Jun-2025</t>
  </si>
  <si>
    <t>Jul-2025</t>
  </si>
  <si>
    <t>Aug-2025</t>
  </si>
  <si>
    <t>Sep-2025</t>
  </si>
  <si>
    <t>Oct-2025</t>
  </si>
  <si>
    <t>North</t>
  </si>
  <si>
    <t>South</t>
  </si>
  <si>
    <t>East</t>
  </si>
  <si>
    <t>West</t>
  </si>
  <si>
    <t>Product A</t>
  </si>
  <si>
    <t>Product B</t>
  </si>
  <si>
    <t>Product C</t>
  </si>
  <si>
    <t>Product D</t>
  </si>
  <si>
    <t>Total Revenue</t>
  </si>
  <si>
    <t>Total Profit</t>
  </si>
  <si>
    <t xml:space="preserve">Month_Year </t>
  </si>
  <si>
    <t>Row Labels</t>
  </si>
  <si>
    <t>Grand Total</t>
  </si>
  <si>
    <t>Sum of Revenue</t>
  </si>
  <si>
    <t>Sum of Profit</t>
  </si>
  <si>
    <t>Average of Profit</t>
  </si>
  <si>
    <t>Average  profit Margin</t>
  </si>
  <si>
    <t>Average of Revenue</t>
  </si>
  <si>
    <t>Monthly Revenue Trend</t>
  </si>
  <si>
    <t>Region Summary</t>
  </si>
  <si>
    <t>Product Summary</t>
  </si>
  <si>
    <t>Column Labels</t>
  </si>
  <si>
    <t>Region vs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</si>
</sst>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9" fontId="0" fillId="0" borderId="0" xfId="1" applyFont="1"/>
    <xf numFmtId="165" fontId="0" fillId="0" borderId="0" xfId="1" applyNumberFormat="1" applyFont="1"/>
    <xf numFmtId="0" fontId="0" fillId="2" borderId="0" xfId="0" applyFill="1"/>
    <xf numFmtId="0" fontId="1" fillId="2" borderId="0" xfId="0" applyFont="1" applyFill="1"/>
  </cellXfs>
  <cellStyles count="2">
    <cellStyle name="Normal" xfId="0" builtinId="0"/>
    <cellStyle name="Percent" xfId="1" builtinId="5"/>
  </cellStyles>
  <dxfs count="19">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1" tint="0.34998626667073579"/>
        </patternFill>
      </fill>
      <border diagonalUp="1">
        <left style="thin">
          <color theme="9" tint="0.39994506668294322"/>
        </left>
        <right style="thin">
          <color theme="9" tint="0.39994506668294322"/>
        </right>
        <top style="thin">
          <color theme="9" tint="0.39994506668294322"/>
        </top>
        <bottom style="thin">
          <color theme="9" tint="0.39994506668294322"/>
        </bottom>
        <diagonal style="thin">
          <color theme="9" tint="0.39994506668294322"/>
        </diagonal>
      </border>
    </dxf>
    <dxf>
      <font>
        <b/>
        <color theme="1"/>
      </font>
      <border>
        <bottom style="thin">
          <color theme="5"/>
        </bottom>
        <vertical/>
        <horizontal/>
      </border>
    </dxf>
    <dxf>
      <font>
        <sz val="10"/>
        <color theme="1"/>
      </font>
      <border>
        <left style="thin">
          <color theme="5"/>
        </left>
        <right style="thin">
          <color theme="5"/>
        </right>
        <top style="thin">
          <color theme="5"/>
        </top>
        <bottom style="thin">
          <color theme="5"/>
        </bottom>
        <vertical/>
        <horizontal/>
      </border>
    </dxf>
    <dxf>
      <font>
        <sz val="10"/>
      </font>
    </dxf>
  </dxfs>
  <tableStyles count="3" defaultTableStyle="TableStyleMedium9" defaultPivotStyle="PivotStyleLight16">
    <tableStyle name="my style" pivot="0" table="0" count="1" xr9:uid="{D5793B9C-BB03-48AD-BA64-8DFE38E98618}">
      <tableStyleElement type="wholeTable" dxfId="18"/>
    </tableStyle>
    <tableStyle name="My Styles" pivot="0" table="0" count="10" xr9:uid="{4220F4A1-ADAC-41F4-B180-A18C940E217E}">
      <tableStyleElement type="wholeTable" dxfId="17"/>
      <tableStyleElement type="headerRow" dxfId="16"/>
    </tableStyle>
    <tableStyle name="Slicer Style 1" pivot="0" table="0" count="1" xr9:uid="{D643605D-625A-4C7E-B8B6-116D4BB57786}">
      <tableStyleElement type="wholeTable" dxfId="15"/>
    </tableStyle>
  </tableStyles>
  <colors>
    <mruColors>
      <color rgb="FF194D5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My Styl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Dashboard_outrix Internship.xlsx]Pivot Table!PivotTable4</c:name>
    <c:fmtId val="56"/>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IN" sz="900" b="1">
                <a:solidFill>
                  <a:schemeClr val="tx1"/>
                </a:solidFill>
              </a:rPr>
              <a:t>Monthly Revenue Trend</a:t>
            </a:r>
          </a:p>
        </c:rich>
      </c:tx>
      <c:layout>
        <c:manualLayout>
          <c:xMode val="edge"/>
          <c:yMode val="edge"/>
          <c:x val="0.32280676296293392"/>
          <c:y val="2.4684635229446052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3779064906239"/>
          <c:y val="0.18821356606851225"/>
          <c:w val="0.77453589286740621"/>
          <c:h val="0.54636791724563838"/>
        </c:manualLayout>
      </c:layout>
      <c:lineChart>
        <c:grouping val="standard"/>
        <c:varyColors val="0"/>
        <c:ser>
          <c:idx val="0"/>
          <c:order val="0"/>
          <c:tx>
            <c:strRef>
              <c:f>'Pivot Table'!$B$11</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Table'!$A$12:$A$34</c:f>
              <c:strCache>
                <c:ptCount val="22"/>
                <c:pt idx="0">
                  <c:v>Apr-2024</c:v>
                </c:pt>
                <c:pt idx="1">
                  <c:v>Apr-2025</c:v>
                </c:pt>
                <c:pt idx="2">
                  <c:v>Aug-2024</c:v>
                </c:pt>
                <c:pt idx="3">
                  <c:v>Aug-2025</c:v>
                </c:pt>
                <c:pt idx="4">
                  <c:v>Dec-2024</c:v>
                </c:pt>
                <c:pt idx="5">
                  <c:v>Feb-2024</c:v>
                </c:pt>
                <c:pt idx="6">
                  <c:v>Feb-2025</c:v>
                </c:pt>
                <c:pt idx="7">
                  <c:v>Jan-2024</c:v>
                </c:pt>
                <c:pt idx="8">
                  <c:v>Jan-2025</c:v>
                </c:pt>
                <c:pt idx="9">
                  <c:v>Jul-2024</c:v>
                </c:pt>
                <c:pt idx="10">
                  <c:v>Jul-2025</c:v>
                </c:pt>
                <c:pt idx="11">
                  <c:v>Jun-2024</c:v>
                </c:pt>
                <c:pt idx="12">
                  <c:v>Jun-2025</c:v>
                </c:pt>
                <c:pt idx="13">
                  <c:v>Mar-2024</c:v>
                </c:pt>
                <c:pt idx="14">
                  <c:v>Mar-2025</c:v>
                </c:pt>
                <c:pt idx="15">
                  <c:v>May-2024</c:v>
                </c:pt>
                <c:pt idx="16">
                  <c:v>May-2025</c:v>
                </c:pt>
                <c:pt idx="17">
                  <c:v>Nov-2024</c:v>
                </c:pt>
                <c:pt idx="18">
                  <c:v>Oct-2024</c:v>
                </c:pt>
                <c:pt idx="19">
                  <c:v>Oct-2025</c:v>
                </c:pt>
                <c:pt idx="20">
                  <c:v>Sep-2024</c:v>
                </c:pt>
                <c:pt idx="21">
                  <c:v>Sep-2025</c:v>
                </c:pt>
              </c:strCache>
            </c:strRef>
          </c:cat>
          <c:val>
            <c:numRef>
              <c:f>'Pivot Table'!$B$12:$B$34</c:f>
              <c:numCache>
                <c:formatCode>0</c:formatCode>
                <c:ptCount val="22"/>
                <c:pt idx="0">
                  <c:v>147483.81</c:v>
                </c:pt>
                <c:pt idx="1">
                  <c:v>83509.279999999999</c:v>
                </c:pt>
                <c:pt idx="2">
                  <c:v>90029.16</c:v>
                </c:pt>
                <c:pt idx="3">
                  <c:v>136320.39000000001</c:v>
                </c:pt>
                <c:pt idx="4">
                  <c:v>108637.82</c:v>
                </c:pt>
                <c:pt idx="5">
                  <c:v>68859.520000000004</c:v>
                </c:pt>
                <c:pt idx="6">
                  <c:v>48129.590000000004</c:v>
                </c:pt>
                <c:pt idx="7">
                  <c:v>95418.72</c:v>
                </c:pt>
                <c:pt idx="8">
                  <c:v>47243.130000000005</c:v>
                </c:pt>
                <c:pt idx="9">
                  <c:v>127336.67000000001</c:v>
                </c:pt>
                <c:pt idx="10">
                  <c:v>132838.58000000002</c:v>
                </c:pt>
                <c:pt idx="11">
                  <c:v>82774.540000000008</c:v>
                </c:pt>
                <c:pt idx="12">
                  <c:v>139879.10999999999</c:v>
                </c:pt>
                <c:pt idx="13">
                  <c:v>68980.739999999991</c:v>
                </c:pt>
                <c:pt idx="14">
                  <c:v>68661.14</c:v>
                </c:pt>
                <c:pt idx="15">
                  <c:v>132437.72999999998</c:v>
                </c:pt>
                <c:pt idx="16">
                  <c:v>97377.95</c:v>
                </c:pt>
                <c:pt idx="17">
                  <c:v>154273.15</c:v>
                </c:pt>
                <c:pt idx="18">
                  <c:v>51163.25</c:v>
                </c:pt>
                <c:pt idx="19">
                  <c:v>197445.87</c:v>
                </c:pt>
                <c:pt idx="20">
                  <c:v>188043.33000000002</c:v>
                </c:pt>
                <c:pt idx="21">
                  <c:v>116104.91</c:v>
                </c:pt>
              </c:numCache>
            </c:numRef>
          </c:val>
          <c:smooth val="0"/>
          <c:extLst>
            <c:ext xmlns:c16="http://schemas.microsoft.com/office/drawing/2014/chart" uri="{C3380CC4-5D6E-409C-BE32-E72D297353CC}">
              <c16:uniqueId val="{00000000-16E6-4F19-B1A3-BCBE81835C7C}"/>
            </c:ext>
          </c:extLst>
        </c:ser>
        <c:ser>
          <c:idx val="1"/>
          <c:order val="1"/>
          <c:tx>
            <c:strRef>
              <c:f>'Pivot Table'!$C$11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Table'!$A$12:$A$34</c:f>
              <c:strCache>
                <c:ptCount val="22"/>
                <c:pt idx="0">
                  <c:v>Apr-2024</c:v>
                </c:pt>
                <c:pt idx="1">
                  <c:v>Apr-2025</c:v>
                </c:pt>
                <c:pt idx="2">
                  <c:v>Aug-2024</c:v>
                </c:pt>
                <c:pt idx="3">
                  <c:v>Aug-2025</c:v>
                </c:pt>
                <c:pt idx="4">
                  <c:v>Dec-2024</c:v>
                </c:pt>
                <c:pt idx="5">
                  <c:v>Feb-2024</c:v>
                </c:pt>
                <c:pt idx="6">
                  <c:v>Feb-2025</c:v>
                </c:pt>
                <c:pt idx="7">
                  <c:v>Jan-2024</c:v>
                </c:pt>
                <c:pt idx="8">
                  <c:v>Jan-2025</c:v>
                </c:pt>
                <c:pt idx="9">
                  <c:v>Jul-2024</c:v>
                </c:pt>
                <c:pt idx="10">
                  <c:v>Jul-2025</c:v>
                </c:pt>
                <c:pt idx="11">
                  <c:v>Jun-2024</c:v>
                </c:pt>
                <c:pt idx="12">
                  <c:v>Jun-2025</c:v>
                </c:pt>
                <c:pt idx="13">
                  <c:v>Mar-2024</c:v>
                </c:pt>
                <c:pt idx="14">
                  <c:v>Mar-2025</c:v>
                </c:pt>
                <c:pt idx="15">
                  <c:v>May-2024</c:v>
                </c:pt>
                <c:pt idx="16">
                  <c:v>May-2025</c:v>
                </c:pt>
                <c:pt idx="17">
                  <c:v>Nov-2024</c:v>
                </c:pt>
                <c:pt idx="18">
                  <c:v>Oct-2024</c:v>
                </c:pt>
                <c:pt idx="19">
                  <c:v>Oct-2025</c:v>
                </c:pt>
                <c:pt idx="20">
                  <c:v>Sep-2024</c:v>
                </c:pt>
                <c:pt idx="21">
                  <c:v>Sep-2025</c:v>
                </c:pt>
              </c:strCache>
            </c:strRef>
          </c:cat>
          <c:val>
            <c:numRef>
              <c:f>'Pivot Table'!$C$12:$C$34</c:f>
              <c:numCache>
                <c:formatCode>0</c:formatCode>
                <c:ptCount val="22"/>
                <c:pt idx="0">
                  <c:v>17920.990000000002</c:v>
                </c:pt>
                <c:pt idx="1">
                  <c:v>10413.320000000002</c:v>
                </c:pt>
                <c:pt idx="2">
                  <c:v>9909.66</c:v>
                </c:pt>
                <c:pt idx="3">
                  <c:v>16883.32</c:v>
                </c:pt>
                <c:pt idx="4">
                  <c:v>15555.789999999999</c:v>
                </c:pt>
                <c:pt idx="5">
                  <c:v>8013.45</c:v>
                </c:pt>
                <c:pt idx="6">
                  <c:v>5203.4399999999996</c:v>
                </c:pt>
                <c:pt idx="7">
                  <c:v>11706.54</c:v>
                </c:pt>
                <c:pt idx="8">
                  <c:v>6193.9800000000005</c:v>
                </c:pt>
                <c:pt idx="9">
                  <c:v>15598.17</c:v>
                </c:pt>
                <c:pt idx="10">
                  <c:v>19494.599999999999</c:v>
                </c:pt>
                <c:pt idx="11">
                  <c:v>10568.25</c:v>
                </c:pt>
                <c:pt idx="12">
                  <c:v>18139.400000000001</c:v>
                </c:pt>
                <c:pt idx="13">
                  <c:v>8860.2000000000007</c:v>
                </c:pt>
                <c:pt idx="14">
                  <c:v>7961.91</c:v>
                </c:pt>
                <c:pt idx="15">
                  <c:v>18363.769999999997</c:v>
                </c:pt>
                <c:pt idx="16">
                  <c:v>10507.57</c:v>
                </c:pt>
                <c:pt idx="17">
                  <c:v>19082.009999999998</c:v>
                </c:pt>
                <c:pt idx="18">
                  <c:v>6653.35</c:v>
                </c:pt>
                <c:pt idx="19">
                  <c:v>20934.479999999996</c:v>
                </c:pt>
                <c:pt idx="20">
                  <c:v>18659.760000000002</c:v>
                </c:pt>
                <c:pt idx="21">
                  <c:v>14781.71</c:v>
                </c:pt>
              </c:numCache>
            </c:numRef>
          </c:val>
          <c:smooth val="0"/>
          <c:extLst>
            <c:ext xmlns:c16="http://schemas.microsoft.com/office/drawing/2014/chart" uri="{C3380CC4-5D6E-409C-BE32-E72D297353CC}">
              <c16:uniqueId val="{00000001-16E6-4F19-B1A3-BCBE81835C7C}"/>
            </c:ext>
          </c:extLst>
        </c:ser>
        <c:dLbls>
          <c:showLegendKey val="0"/>
          <c:showVal val="0"/>
          <c:showCatName val="0"/>
          <c:showSerName val="0"/>
          <c:showPercent val="0"/>
          <c:showBubbleSize val="0"/>
        </c:dLbls>
        <c:marker val="1"/>
        <c:smooth val="0"/>
        <c:axId val="679420176"/>
        <c:axId val="679439312"/>
      </c:lineChart>
      <c:catAx>
        <c:axId val="67942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679439312"/>
        <c:crosses val="autoZero"/>
        <c:auto val="1"/>
        <c:lblAlgn val="ctr"/>
        <c:lblOffset val="100"/>
        <c:noMultiLvlLbl val="0"/>
      </c:catAx>
      <c:valAx>
        <c:axId val="679439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679420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Dashboard_outrix Internship.xlsx]Pivot Table!PivotTable9</c:name>
    <c:fmtId val="13"/>
  </c:pivotSource>
  <c:chart>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900">
                <a:solidFill>
                  <a:schemeClr val="tx1"/>
                </a:solidFill>
              </a:rPr>
              <a:t>Region</a:t>
            </a:r>
            <a:r>
              <a:rPr lang="en-IN" sz="900" baseline="0">
                <a:solidFill>
                  <a:schemeClr val="tx1"/>
                </a:solidFill>
              </a:rPr>
              <a:t> Revenue Stack by Month  </a:t>
            </a:r>
            <a:endParaRPr lang="en-IN" sz="900">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95873472279318"/>
          <c:y val="0.18103091128476809"/>
          <c:w val="0.8369550397109452"/>
          <c:h val="0.50321560063442772"/>
        </c:manualLayout>
      </c:layout>
      <c:areaChart>
        <c:grouping val="standard"/>
        <c:varyColors val="0"/>
        <c:ser>
          <c:idx val="0"/>
          <c:order val="0"/>
          <c:tx>
            <c:strRef>
              <c:f>'Pivot Table'!$B$37:$B$38</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cat>
            <c:strRef>
              <c:f>'Pivot Table'!$A$39:$A$61</c:f>
              <c:strCache>
                <c:ptCount val="22"/>
                <c:pt idx="0">
                  <c:v>Apr-2024</c:v>
                </c:pt>
                <c:pt idx="1">
                  <c:v>Apr-2025</c:v>
                </c:pt>
                <c:pt idx="2">
                  <c:v>Aug-2024</c:v>
                </c:pt>
                <c:pt idx="3">
                  <c:v>Aug-2025</c:v>
                </c:pt>
                <c:pt idx="4">
                  <c:v>Dec-2024</c:v>
                </c:pt>
                <c:pt idx="5">
                  <c:v>Feb-2024</c:v>
                </c:pt>
                <c:pt idx="6">
                  <c:v>Feb-2025</c:v>
                </c:pt>
                <c:pt idx="7">
                  <c:v>Jan-2024</c:v>
                </c:pt>
                <c:pt idx="8">
                  <c:v>Jan-2025</c:v>
                </c:pt>
                <c:pt idx="9">
                  <c:v>Jul-2024</c:v>
                </c:pt>
                <c:pt idx="10">
                  <c:v>Jul-2025</c:v>
                </c:pt>
                <c:pt idx="11">
                  <c:v>Jun-2024</c:v>
                </c:pt>
                <c:pt idx="12">
                  <c:v>Jun-2025</c:v>
                </c:pt>
                <c:pt idx="13">
                  <c:v>Mar-2024</c:v>
                </c:pt>
                <c:pt idx="14">
                  <c:v>Mar-2025</c:v>
                </c:pt>
                <c:pt idx="15">
                  <c:v>May-2024</c:v>
                </c:pt>
                <c:pt idx="16">
                  <c:v>May-2025</c:v>
                </c:pt>
                <c:pt idx="17">
                  <c:v>Nov-2024</c:v>
                </c:pt>
                <c:pt idx="18">
                  <c:v>Oct-2024</c:v>
                </c:pt>
                <c:pt idx="19">
                  <c:v>Oct-2025</c:v>
                </c:pt>
                <c:pt idx="20">
                  <c:v>Sep-2024</c:v>
                </c:pt>
                <c:pt idx="21">
                  <c:v>Sep-2025</c:v>
                </c:pt>
              </c:strCache>
            </c:strRef>
          </c:cat>
          <c:val>
            <c:numRef>
              <c:f>'Pivot Table'!$B$39:$B$61</c:f>
              <c:numCache>
                <c:formatCode>0</c:formatCode>
                <c:ptCount val="22"/>
                <c:pt idx="0">
                  <c:v>46753.84</c:v>
                </c:pt>
                <c:pt idx="1">
                  <c:v>30673.09</c:v>
                </c:pt>
                <c:pt idx="2">
                  <c:v>11166.97</c:v>
                </c:pt>
                <c:pt idx="3">
                  <c:v>9993.4699999999993</c:v>
                </c:pt>
                <c:pt idx="4">
                  <c:v>51326.68</c:v>
                </c:pt>
                <c:pt idx="5">
                  <c:v>28585.47</c:v>
                </c:pt>
                <c:pt idx="6">
                  <c:v>1243.55</c:v>
                </c:pt>
                <c:pt idx="7">
                  <c:v>16479.009999999998</c:v>
                </c:pt>
                <c:pt idx="8">
                  <c:v>30255.040000000001</c:v>
                </c:pt>
                <c:pt idx="9">
                  <c:v>10390.5</c:v>
                </c:pt>
                <c:pt idx="10">
                  <c:v>23727.200000000001</c:v>
                </c:pt>
                <c:pt idx="11">
                  <c:v>33850.620000000003</c:v>
                </c:pt>
                <c:pt idx="12">
                  <c:v>50499.199999999997</c:v>
                </c:pt>
                <c:pt idx="13">
                  <c:v>29253.88</c:v>
                </c:pt>
                <c:pt idx="14">
                  <c:v>7583.57</c:v>
                </c:pt>
                <c:pt idx="15">
                  <c:v>40962.370000000003</c:v>
                </c:pt>
                <c:pt idx="16">
                  <c:v>10536.73</c:v>
                </c:pt>
                <c:pt idx="17">
                  <c:v>26460.59</c:v>
                </c:pt>
                <c:pt idx="18">
                  <c:v>5068.96</c:v>
                </c:pt>
                <c:pt idx="19">
                  <c:v>77454.22</c:v>
                </c:pt>
                <c:pt idx="20">
                  <c:v>23552.78</c:v>
                </c:pt>
                <c:pt idx="21">
                  <c:v>42192.91</c:v>
                </c:pt>
              </c:numCache>
            </c:numRef>
          </c:val>
          <c:extLst>
            <c:ext xmlns:c16="http://schemas.microsoft.com/office/drawing/2014/chart" uri="{C3380CC4-5D6E-409C-BE32-E72D297353CC}">
              <c16:uniqueId val="{00000000-1E71-4733-9DB0-24E49A678AC2}"/>
            </c:ext>
          </c:extLst>
        </c:ser>
        <c:ser>
          <c:idx val="1"/>
          <c:order val="1"/>
          <c:tx>
            <c:strRef>
              <c:f>'Pivot Table'!$C$37:$C$38</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cat>
            <c:strRef>
              <c:f>'Pivot Table'!$A$39:$A$61</c:f>
              <c:strCache>
                <c:ptCount val="22"/>
                <c:pt idx="0">
                  <c:v>Apr-2024</c:v>
                </c:pt>
                <c:pt idx="1">
                  <c:v>Apr-2025</c:v>
                </c:pt>
                <c:pt idx="2">
                  <c:v>Aug-2024</c:v>
                </c:pt>
                <c:pt idx="3">
                  <c:v>Aug-2025</c:v>
                </c:pt>
                <c:pt idx="4">
                  <c:v>Dec-2024</c:v>
                </c:pt>
                <c:pt idx="5">
                  <c:v>Feb-2024</c:v>
                </c:pt>
                <c:pt idx="6">
                  <c:v>Feb-2025</c:v>
                </c:pt>
                <c:pt idx="7">
                  <c:v>Jan-2024</c:v>
                </c:pt>
                <c:pt idx="8">
                  <c:v>Jan-2025</c:v>
                </c:pt>
                <c:pt idx="9">
                  <c:v>Jul-2024</c:v>
                </c:pt>
                <c:pt idx="10">
                  <c:v>Jul-2025</c:v>
                </c:pt>
                <c:pt idx="11">
                  <c:v>Jun-2024</c:v>
                </c:pt>
                <c:pt idx="12">
                  <c:v>Jun-2025</c:v>
                </c:pt>
                <c:pt idx="13">
                  <c:v>Mar-2024</c:v>
                </c:pt>
                <c:pt idx="14">
                  <c:v>Mar-2025</c:v>
                </c:pt>
                <c:pt idx="15">
                  <c:v>May-2024</c:v>
                </c:pt>
                <c:pt idx="16">
                  <c:v>May-2025</c:v>
                </c:pt>
                <c:pt idx="17">
                  <c:v>Nov-2024</c:v>
                </c:pt>
                <c:pt idx="18">
                  <c:v>Oct-2024</c:v>
                </c:pt>
                <c:pt idx="19">
                  <c:v>Oct-2025</c:v>
                </c:pt>
                <c:pt idx="20">
                  <c:v>Sep-2024</c:v>
                </c:pt>
                <c:pt idx="21">
                  <c:v>Sep-2025</c:v>
                </c:pt>
              </c:strCache>
            </c:strRef>
          </c:cat>
          <c:val>
            <c:numRef>
              <c:f>'Pivot Table'!$C$39:$C$61</c:f>
              <c:numCache>
                <c:formatCode>0</c:formatCode>
                <c:ptCount val="22"/>
                <c:pt idx="0">
                  <c:v>26047.56</c:v>
                </c:pt>
                <c:pt idx="1">
                  <c:v>11556.8</c:v>
                </c:pt>
                <c:pt idx="2">
                  <c:v>31852.14</c:v>
                </c:pt>
                <c:pt idx="3">
                  <c:v>55273.31</c:v>
                </c:pt>
                <c:pt idx="4">
                  <c:v>5956.76</c:v>
                </c:pt>
                <c:pt idx="5">
                  <c:v>9375.67</c:v>
                </c:pt>
                <c:pt idx="6">
                  <c:v>9978.64</c:v>
                </c:pt>
                <c:pt idx="7">
                  <c:v>19683.87</c:v>
                </c:pt>
                <c:pt idx="8">
                  <c:v>8781.61</c:v>
                </c:pt>
                <c:pt idx="9">
                  <c:v>15838.46</c:v>
                </c:pt>
                <c:pt idx="10">
                  <c:v>69210.97</c:v>
                </c:pt>
                <c:pt idx="11">
                  <c:v>28878.54</c:v>
                </c:pt>
                <c:pt idx="12">
                  <c:v>11116.75</c:v>
                </c:pt>
                <c:pt idx="13">
                  <c:v>8049.84</c:v>
                </c:pt>
                <c:pt idx="14">
                  <c:v>9905.5</c:v>
                </c:pt>
                <c:pt idx="15">
                  <c:v>9402.26</c:v>
                </c:pt>
                <c:pt idx="16">
                  <c:v>53746.27</c:v>
                </c:pt>
                <c:pt idx="17">
                  <c:v>60271.25</c:v>
                </c:pt>
                <c:pt idx="18">
                  <c:v>24401.73</c:v>
                </c:pt>
                <c:pt idx="19">
                  <c:v>22140.03</c:v>
                </c:pt>
                <c:pt idx="20">
                  <c:v>50382.48</c:v>
                </c:pt>
                <c:pt idx="21">
                  <c:v>13430.14</c:v>
                </c:pt>
              </c:numCache>
            </c:numRef>
          </c:val>
          <c:extLst>
            <c:ext xmlns:c16="http://schemas.microsoft.com/office/drawing/2014/chart" uri="{C3380CC4-5D6E-409C-BE32-E72D297353CC}">
              <c16:uniqueId val="{00000001-1E71-4733-9DB0-24E49A678AC2}"/>
            </c:ext>
          </c:extLst>
        </c:ser>
        <c:ser>
          <c:idx val="2"/>
          <c:order val="2"/>
          <c:tx>
            <c:strRef>
              <c:f>'Pivot Table'!$D$37:$D$38</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cat>
            <c:strRef>
              <c:f>'Pivot Table'!$A$39:$A$61</c:f>
              <c:strCache>
                <c:ptCount val="22"/>
                <c:pt idx="0">
                  <c:v>Apr-2024</c:v>
                </c:pt>
                <c:pt idx="1">
                  <c:v>Apr-2025</c:v>
                </c:pt>
                <c:pt idx="2">
                  <c:v>Aug-2024</c:v>
                </c:pt>
                <c:pt idx="3">
                  <c:v>Aug-2025</c:v>
                </c:pt>
                <c:pt idx="4">
                  <c:v>Dec-2024</c:v>
                </c:pt>
                <c:pt idx="5">
                  <c:v>Feb-2024</c:v>
                </c:pt>
                <c:pt idx="6">
                  <c:v>Feb-2025</c:v>
                </c:pt>
                <c:pt idx="7">
                  <c:v>Jan-2024</c:v>
                </c:pt>
                <c:pt idx="8">
                  <c:v>Jan-2025</c:v>
                </c:pt>
                <c:pt idx="9">
                  <c:v>Jul-2024</c:v>
                </c:pt>
                <c:pt idx="10">
                  <c:v>Jul-2025</c:v>
                </c:pt>
                <c:pt idx="11">
                  <c:v>Jun-2024</c:v>
                </c:pt>
                <c:pt idx="12">
                  <c:v>Jun-2025</c:v>
                </c:pt>
                <c:pt idx="13">
                  <c:v>Mar-2024</c:v>
                </c:pt>
                <c:pt idx="14">
                  <c:v>Mar-2025</c:v>
                </c:pt>
                <c:pt idx="15">
                  <c:v>May-2024</c:v>
                </c:pt>
                <c:pt idx="16">
                  <c:v>May-2025</c:v>
                </c:pt>
                <c:pt idx="17">
                  <c:v>Nov-2024</c:v>
                </c:pt>
                <c:pt idx="18">
                  <c:v>Oct-2024</c:v>
                </c:pt>
                <c:pt idx="19">
                  <c:v>Oct-2025</c:v>
                </c:pt>
                <c:pt idx="20">
                  <c:v>Sep-2024</c:v>
                </c:pt>
                <c:pt idx="21">
                  <c:v>Sep-2025</c:v>
                </c:pt>
              </c:strCache>
            </c:strRef>
          </c:cat>
          <c:val>
            <c:numRef>
              <c:f>'Pivot Table'!$D$39:$D$61</c:f>
              <c:numCache>
                <c:formatCode>0</c:formatCode>
                <c:ptCount val="22"/>
                <c:pt idx="0">
                  <c:v>32805.85</c:v>
                </c:pt>
                <c:pt idx="1">
                  <c:v>2139.81</c:v>
                </c:pt>
                <c:pt idx="2">
                  <c:v>14846.91</c:v>
                </c:pt>
                <c:pt idx="3">
                  <c:v>36632.03</c:v>
                </c:pt>
                <c:pt idx="4">
                  <c:v>18753.27</c:v>
                </c:pt>
                <c:pt idx="5">
                  <c:v>22720.87</c:v>
                </c:pt>
                <c:pt idx="6">
                  <c:v>3448.92</c:v>
                </c:pt>
                <c:pt idx="7">
                  <c:v>3501.38</c:v>
                </c:pt>
                <c:pt idx="8">
                  <c:v>3825.39</c:v>
                </c:pt>
                <c:pt idx="9">
                  <c:v>78361.210000000006</c:v>
                </c:pt>
                <c:pt idx="10">
                  <c:v>14788.11</c:v>
                </c:pt>
                <c:pt idx="11">
                  <c:v>7406.65</c:v>
                </c:pt>
                <c:pt idx="12">
                  <c:v>65080.41</c:v>
                </c:pt>
                <c:pt idx="13">
                  <c:v>3162.37</c:v>
                </c:pt>
                <c:pt idx="14">
                  <c:v>42440.800000000003</c:v>
                </c:pt>
                <c:pt idx="15">
                  <c:v>15128.95</c:v>
                </c:pt>
                <c:pt idx="16">
                  <c:v>7636.25</c:v>
                </c:pt>
                <c:pt idx="17">
                  <c:v>26553.01</c:v>
                </c:pt>
                <c:pt idx="18">
                  <c:v>5973.41</c:v>
                </c:pt>
                <c:pt idx="19">
                  <c:v>58294.879999999997</c:v>
                </c:pt>
                <c:pt idx="20">
                  <c:v>56731.34</c:v>
                </c:pt>
                <c:pt idx="21">
                  <c:v>3388.21</c:v>
                </c:pt>
              </c:numCache>
            </c:numRef>
          </c:val>
          <c:extLst>
            <c:ext xmlns:c16="http://schemas.microsoft.com/office/drawing/2014/chart" uri="{C3380CC4-5D6E-409C-BE32-E72D297353CC}">
              <c16:uniqueId val="{00000002-1E71-4733-9DB0-24E49A678AC2}"/>
            </c:ext>
          </c:extLst>
        </c:ser>
        <c:ser>
          <c:idx val="3"/>
          <c:order val="3"/>
          <c:tx>
            <c:strRef>
              <c:f>'Pivot Table'!$E$37:$E$38</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cat>
            <c:strRef>
              <c:f>'Pivot Table'!$A$39:$A$61</c:f>
              <c:strCache>
                <c:ptCount val="22"/>
                <c:pt idx="0">
                  <c:v>Apr-2024</c:v>
                </c:pt>
                <c:pt idx="1">
                  <c:v>Apr-2025</c:v>
                </c:pt>
                <c:pt idx="2">
                  <c:v>Aug-2024</c:v>
                </c:pt>
                <c:pt idx="3">
                  <c:v>Aug-2025</c:v>
                </c:pt>
                <c:pt idx="4">
                  <c:v>Dec-2024</c:v>
                </c:pt>
                <c:pt idx="5">
                  <c:v>Feb-2024</c:v>
                </c:pt>
                <c:pt idx="6">
                  <c:v>Feb-2025</c:v>
                </c:pt>
                <c:pt idx="7">
                  <c:v>Jan-2024</c:v>
                </c:pt>
                <c:pt idx="8">
                  <c:v>Jan-2025</c:v>
                </c:pt>
                <c:pt idx="9">
                  <c:v>Jul-2024</c:v>
                </c:pt>
                <c:pt idx="10">
                  <c:v>Jul-2025</c:v>
                </c:pt>
                <c:pt idx="11">
                  <c:v>Jun-2024</c:v>
                </c:pt>
                <c:pt idx="12">
                  <c:v>Jun-2025</c:v>
                </c:pt>
                <c:pt idx="13">
                  <c:v>Mar-2024</c:v>
                </c:pt>
                <c:pt idx="14">
                  <c:v>Mar-2025</c:v>
                </c:pt>
                <c:pt idx="15">
                  <c:v>May-2024</c:v>
                </c:pt>
                <c:pt idx="16">
                  <c:v>May-2025</c:v>
                </c:pt>
                <c:pt idx="17">
                  <c:v>Nov-2024</c:v>
                </c:pt>
                <c:pt idx="18">
                  <c:v>Oct-2024</c:v>
                </c:pt>
                <c:pt idx="19">
                  <c:v>Oct-2025</c:v>
                </c:pt>
                <c:pt idx="20">
                  <c:v>Sep-2024</c:v>
                </c:pt>
                <c:pt idx="21">
                  <c:v>Sep-2025</c:v>
                </c:pt>
              </c:strCache>
            </c:strRef>
          </c:cat>
          <c:val>
            <c:numRef>
              <c:f>'Pivot Table'!$E$39:$E$61</c:f>
              <c:numCache>
                <c:formatCode>0</c:formatCode>
                <c:ptCount val="22"/>
                <c:pt idx="0">
                  <c:v>41876.559999999998</c:v>
                </c:pt>
                <c:pt idx="1">
                  <c:v>39139.58</c:v>
                </c:pt>
                <c:pt idx="2">
                  <c:v>32163.14</c:v>
                </c:pt>
                <c:pt idx="3">
                  <c:v>34421.58</c:v>
                </c:pt>
                <c:pt idx="4">
                  <c:v>32601.11</c:v>
                </c:pt>
                <c:pt idx="5">
                  <c:v>8177.51</c:v>
                </c:pt>
                <c:pt idx="6">
                  <c:v>33458.480000000003</c:v>
                </c:pt>
                <c:pt idx="7">
                  <c:v>55754.46</c:v>
                </c:pt>
                <c:pt idx="8">
                  <c:v>4381.09</c:v>
                </c:pt>
                <c:pt idx="9">
                  <c:v>22746.5</c:v>
                </c:pt>
                <c:pt idx="10">
                  <c:v>25112.3</c:v>
                </c:pt>
                <c:pt idx="11">
                  <c:v>12638.73</c:v>
                </c:pt>
                <c:pt idx="12">
                  <c:v>13182.75</c:v>
                </c:pt>
                <c:pt idx="13">
                  <c:v>28514.65</c:v>
                </c:pt>
                <c:pt idx="14">
                  <c:v>8731.27</c:v>
                </c:pt>
                <c:pt idx="15">
                  <c:v>66944.149999999994</c:v>
                </c:pt>
                <c:pt idx="16">
                  <c:v>25458.7</c:v>
                </c:pt>
                <c:pt idx="17">
                  <c:v>40988.300000000003</c:v>
                </c:pt>
                <c:pt idx="18">
                  <c:v>15719.15</c:v>
                </c:pt>
                <c:pt idx="19">
                  <c:v>39556.74</c:v>
                </c:pt>
                <c:pt idx="20">
                  <c:v>57376.73</c:v>
                </c:pt>
                <c:pt idx="21">
                  <c:v>57093.65</c:v>
                </c:pt>
              </c:numCache>
            </c:numRef>
          </c:val>
          <c:extLst>
            <c:ext xmlns:c16="http://schemas.microsoft.com/office/drawing/2014/chart" uri="{C3380CC4-5D6E-409C-BE32-E72D297353CC}">
              <c16:uniqueId val="{00000003-1E71-4733-9DB0-24E49A678AC2}"/>
            </c:ext>
          </c:extLst>
        </c:ser>
        <c:dLbls>
          <c:showLegendKey val="0"/>
          <c:showVal val="0"/>
          <c:showCatName val="0"/>
          <c:showSerName val="0"/>
          <c:showPercent val="0"/>
          <c:showBubbleSize val="0"/>
        </c:dLbls>
        <c:axId val="439078768"/>
        <c:axId val="439072944"/>
      </c:areaChart>
      <c:catAx>
        <c:axId val="4390787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439072944"/>
        <c:crosses val="autoZero"/>
        <c:auto val="1"/>
        <c:lblAlgn val="ctr"/>
        <c:lblOffset val="100"/>
        <c:noMultiLvlLbl val="0"/>
      </c:catAx>
      <c:valAx>
        <c:axId val="439072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crossAx val="4390787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Dashboard_outrix Internship.xlsx]Pivot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tx1"/>
                </a:solidFill>
              </a:rPr>
              <a:t>Product</a:t>
            </a:r>
            <a:r>
              <a:rPr lang="en-IN" sz="1000" b="1" baseline="0">
                <a:solidFill>
                  <a:schemeClr val="tx1"/>
                </a:solidFill>
              </a:rPr>
              <a:t> Summary</a:t>
            </a:r>
            <a:endParaRPr lang="en-IN" sz="1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02592317268901"/>
          <c:y val="0.30282347954991484"/>
          <c:w val="0.8405928977420869"/>
          <c:h val="0.58301130646502164"/>
        </c:manualLayout>
      </c:layout>
      <c:barChart>
        <c:barDir val="col"/>
        <c:grouping val="clustered"/>
        <c:varyColors val="0"/>
        <c:ser>
          <c:idx val="0"/>
          <c:order val="0"/>
          <c:tx>
            <c:strRef>
              <c:f>'Pivot Table'!$H$20</c:f>
              <c:strCache>
                <c:ptCount val="1"/>
                <c:pt idx="0">
                  <c:v>Sum of Revenue</c:v>
                </c:pt>
              </c:strCache>
            </c:strRef>
          </c:tx>
          <c:spPr>
            <a:solidFill>
              <a:schemeClr val="accent1"/>
            </a:solidFill>
            <a:ln>
              <a:noFill/>
            </a:ln>
            <a:effectLst/>
          </c:spPr>
          <c:invertIfNegative val="0"/>
          <c:cat>
            <c:strRef>
              <c:f>'Pivot Table'!$G$21:$G$22</c:f>
              <c:strCache>
                <c:ptCount val="1"/>
                <c:pt idx="0">
                  <c:v>Product A</c:v>
                </c:pt>
              </c:strCache>
            </c:strRef>
          </c:cat>
          <c:val>
            <c:numRef>
              <c:f>'Pivot Table'!$H$21:$H$22</c:f>
              <c:numCache>
                <c:formatCode>0</c:formatCode>
                <c:ptCount val="1"/>
                <c:pt idx="0">
                  <c:v>2382948.3900000011</c:v>
                </c:pt>
              </c:numCache>
            </c:numRef>
          </c:val>
          <c:extLst>
            <c:ext xmlns:c16="http://schemas.microsoft.com/office/drawing/2014/chart" uri="{C3380CC4-5D6E-409C-BE32-E72D297353CC}">
              <c16:uniqueId val="{00000000-1220-4079-BAE8-268C2BA867A8}"/>
            </c:ext>
          </c:extLst>
        </c:ser>
        <c:ser>
          <c:idx val="1"/>
          <c:order val="1"/>
          <c:tx>
            <c:strRef>
              <c:f>'Pivot Table'!$I$20</c:f>
              <c:strCache>
                <c:ptCount val="1"/>
                <c:pt idx="0">
                  <c:v>Sum of Profit</c:v>
                </c:pt>
              </c:strCache>
            </c:strRef>
          </c:tx>
          <c:spPr>
            <a:solidFill>
              <a:schemeClr val="accent2"/>
            </a:solidFill>
            <a:ln>
              <a:noFill/>
            </a:ln>
            <a:effectLst/>
          </c:spPr>
          <c:invertIfNegative val="0"/>
          <c:cat>
            <c:strRef>
              <c:f>'Pivot Table'!$G$21:$G$22</c:f>
              <c:strCache>
                <c:ptCount val="1"/>
                <c:pt idx="0">
                  <c:v>Product A</c:v>
                </c:pt>
              </c:strCache>
            </c:strRef>
          </c:cat>
          <c:val>
            <c:numRef>
              <c:f>'Pivot Table'!$I$21:$I$22</c:f>
              <c:numCache>
                <c:formatCode>0</c:formatCode>
                <c:ptCount val="1"/>
                <c:pt idx="0">
                  <c:v>291405.6700000001</c:v>
                </c:pt>
              </c:numCache>
            </c:numRef>
          </c:val>
          <c:extLst>
            <c:ext xmlns:c16="http://schemas.microsoft.com/office/drawing/2014/chart" uri="{C3380CC4-5D6E-409C-BE32-E72D297353CC}">
              <c16:uniqueId val="{00000001-1220-4079-BAE8-268C2BA867A8}"/>
            </c:ext>
          </c:extLst>
        </c:ser>
        <c:dLbls>
          <c:showLegendKey val="0"/>
          <c:showVal val="0"/>
          <c:showCatName val="0"/>
          <c:showSerName val="0"/>
          <c:showPercent val="0"/>
          <c:showBubbleSize val="0"/>
        </c:dLbls>
        <c:gapWidth val="219"/>
        <c:overlap val="-27"/>
        <c:axId val="445185680"/>
        <c:axId val="445175280"/>
      </c:barChart>
      <c:catAx>
        <c:axId val="44518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75280"/>
        <c:crosses val="autoZero"/>
        <c:auto val="1"/>
        <c:lblAlgn val="ctr"/>
        <c:lblOffset val="100"/>
        <c:noMultiLvlLbl val="0"/>
      </c:catAx>
      <c:valAx>
        <c:axId val="445175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8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Dashboard_outrix Internship.xlsx]Pivot Table!PivotTable6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solidFill>
                  <a:schemeClr val="tx1"/>
                </a:solidFill>
              </a:rPr>
              <a:t>Revenue</a:t>
            </a:r>
            <a:r>
              <a:rPr lang="en-IN" sz="900" b="1" baseline="0">
                <a:solidFill>
                  <a:schemeClr val="tx1"/>
                </a:solidFill>
              </a:rPr>
              <a:t> Share by Region</a:t>
            </a:r>
            <a:endParaRPr lang="en-IN" sz="9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 Table'!$H$12</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5D-4003-B886-8E2416CFA7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5D-4003-B886-8E2416CFA7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5D-4003-B886-8E2416CFA7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5D-4003-B886-8E2416CFA7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Table'!$G$13:$G$17</c:f>
              <c:strCache>
                <c:ptCount val="4"/>
                <c:pt idx="0">
                  <c:v>East</c:v>
                </c:pt>
                <c:pt idx="1">
                  <c:v>North</c:v>
                </c:pt>
                <c:pt idx="2">
                  <c:v>South</c:v>
                </c:pt>
                <c:pt idx="3">
                  <c:v>West</c:v>
                </c:pt>
              </c:strCache>
            </c:strRef>
          </c:cat>
          <c:val>
            <c:numRef>
              <c:f>'Pivot Table'!$H$13:$H$17</c:f>
              <c:numCache>
                <c:formatCode>0</c:formatCode>
                <c:ptCount val="4"/>
                <c:pt idx="0">
                  <c:v>608010.65</c:v>
                </c:pt>
                <c:pt idx="1">
                  <c:v>555280.57999999996</c:v>
                </c:pt>
                <c:pt idx="2">
                  <c:v>523620.03</c:v>
                </c:pt>
                <c:pt idx="3">
                  <c:v>696037.13000000012</c:v>
                </c:pt>
              </c:numCache>
            </c:numRef>
          </c:val>
          <c:extLst>
            <c:ext xmlns:c16="http://schemas.microsoft.com/office/drawing/2014/chart" uri="{C3380CC4-5D6E-409C-BE32-E72D297353CC}">
              <c16:uniqueId val="{00000008-B25D-4003-B886-8E2416CFA72B}"/>
            </c:ext>
          </c:extLst>
        </c:ser>
        <c:ser>
          <c:idx val="1"/>
          <c:order val="1"/>
          <c:tx>
            <c:strRef>
              <c:f>'Pivot Table'!$I$12</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B25D-4003-B886-8E2416CFA7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B25D-4003-B886-8E2416CFA7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B25D-4003-B886-8E2416CFA7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B25D-4003-B886-8E2416CFA7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Table'!$G$13:$G$17</c:f>
              <c:strCache>
                <c:ptCount val="4"/>
                <c:pt idx="0">
                  <c:v>East</c:v>
                </c:pt>
                <c:pt idx="1">
                  <c:v>North</c:v>
                </c:pt>
                <c:pt idx="2">
                  <c:v>South</c:v>
                </c:pt>
                <c:pt idx="3">
                  <c:v>West</c:v>
                </c:pt>
              </c:strCache>
            </c:strRef>
          </c:cat>
          <c:val>
            <c:numRef>
              <c:f>'Pivot Table'!$I$13:$I$17</c:f>
              <c:numCache>
                <c:formatCode>0</c:formatCode>
                <c:ptCount val="4"/>
                <c:pt idx="0">
                  <c:v>85653.04</c:v>
                </c:pt>
                <c:pt idx="1">
                  <c:v>71688.549999999988</c:v>
                </c:pt>
                <c:pt idx="2">
                  <c:v>55660.800000000003</c:v>
                </c:pt>
                <c:pt idx="3">
                  <c:v>78403.280000000028</c:v>
                </c:pt>
              </c:numCache>
            </c:numRef>
          </c:val>
          <c:extLst>
            <c:ext xmlns:c16="http://schemas.microsoft.com/office/drawing/2014/chart" uri="{C3380CC4-5D6E-409C-BE32-E72D297353CC}">
              <c16:uniqueId val="{00000011-B25D-4003-B886-8E2416CFA7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36533</xdr:colOff>
      <xdr:row>0</xdr:row>
      <xdr:rowOff>57411</xdr:rowOff>
    </xdr:from>
    <xdr:to>
      <xdr:col>4</xdr:col>
      <xdr:colOff>114822</xdr:colOff>
      <xdr:row>2</xdr:row>
      <xdr:rowOff>67849</xdr:rowOff>
    </xdr:to>
    <xdr:sp macro="" textlink="">
      <xdr:nvSpPr>
        <xdr:cNvPr id="2" name="Rectangle: Rounded Corners 1">
          <a:extLst>
            <a:ext uri="{FF2B5EF4-FFF2-40B4-BE49-F238E27FC236}">
              <a16:creationId xmlns:a16="http://schemas.microsoft.com/office/drawing/2014/main" id="{CC08EF25-D6DA-4E84-B865-A5BD25193B02}"/>
            </a:ext>
          </a:extLst>
        </xdr:cNvPr>
        <xdr:cNvSpPr/>
      </xdr:nvSpPr>
      <xdr:spPr>
        <a:xfrm>
          <a:off x="36533" y="57411"/>
          <a:ext cx="2520864" cy="370561"/>
        </a:xfrm>
        <a:prstGeom prst="roundRect">
          <a:avLst/>
        </a:prstGeom>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65198</xdr:colOff>
      <xdr:row>10</xdr:row>
      <xdr:rowOff>93785</xdr:rowOff>
    </xdr:from>
    <xdr:to>
      <xdr:col>1</xdr:col>
      <xdr:colOff>504091</xdr:colOff>
      <xdr:row>19</xdr:row>
      <xdr:rowOff>64476</xdr:rowOff>
    </xdr:to>
    <xdr:sp macro="" textlink="">
      <xdr:nvSpPr>
        <xdr:cNvPr id="6" name="Rectangle: Rounded Corners 5">
          <a:extLst>
            <a:ext uri="{FF2B5EF4-FFF2-40B4-BE49-F238E27FC236}">
              <a16:creationId xmlns:a16="http://schemas.microsoft.com/office/drawing/2014/main" id="{1FF141FE-5386-48C6-B07D-0B5068C91E48}"/>
            </a:ext>
          </a:extLst>
        </xdr:cNvPr>
        <xdr:cNvSpPr/>
      </xdr:nvSpPr>
      <xdr:spPr>
        <a:xfrm>
          <a:off x="65198" y="1905000"/>
          <a:ext cx="1048493" cy="1606061"/>
        </a:xfrm>
        <a:prstGeom prst="roundRect">
          <a:avLst>
            <a:gd name="adj" fmla="val 5392"/>
          </a:avLst>
        </a:prstGeom>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62014</xdr:colOff>
      <xdr:row>2</xdr:row>
      <xdr:rowOff>105207</xdr:rowOff>
    </xdr:from>
    <xdr:to>
      <xdr:col>1</xdr:col>
      <xdr:colOff>486277</xdr:colOff>
      <xdr:row>10</xdr:row>
      <xdr:rowOff>35169</xdr:rowOff>
    </xdr:to>
    <xdr:sp macro="" textlink="">
      <xdr:nvSpPr>
        <xdr:cNvPr id="7" name="Rectangle: Rounded Corners 6">
          <a:extLst>
            <a:ext uri="{FF2B5EF4-FFF2-40B4-BE49-F238E27FC236}">
              <a16:creationId xmlns:a16="http://schemas.microsoft.com/office/drawing/2014/main" id="{51A02021-F943-45BA-BA89-18888C8B5146}"/>
            </a:ext>
          </a:extLst>
        </xdr:cNvPr>
        <xdr:cNvSpPr/>
      </xdr:nvSpPr>
      <xdr:spPr>
        <a:xfrm>
          <a:off x="62014" y="462761"/>
          <a:ext cx="1033863" cy="1383623"/>
        </a:xfrm>
        <a:prstGeom prst="roundRect">
          <a:avLst>
            <a:gd name="adj" fmla="val 1983"/>
          </a:avLst>
        </a:prstGeom>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407097</xdr:colOff>
      <xdr:row>0</xdr:row>
      <xdr:rowOff>104383</xdr:rowOff>
    </xdr:from>
    <xdr:to>
      <xdr:col>3</xdr:col>
      <xdr:colOff>438411</xdr:colOff>
      <xdr:row>2</xdr:row>
      <xdr:rowOff>62629</xdr:rowOff>
    </xdr:to>
    <xdr:sp macro="" textlink="">
      <xdr:nvSpPr>
        <xdr:cNvPr id="10" name="TextBox 9">
          <a:extLst>
            <a:ext uri="{FF2B5EF4-FFF2-40B4-BE49-F238E27FC236}">
              <a16:creationId xmlns:a16="http://schemas.microsoft.com/office/drawing/2014/main" id="{709B47E0-A526-4125-B595-F2B06616CA3F}"/>
            </a:ext>
          </a:extLst>
        </xdr:cNvPr>
        <xdr:cNvSpPr txBox="1"/>
      </xdr:nvSpPr>
      <xdr:spPr>
        <a:xfrm>
          <a:off x="407097" y="104383"/>
          <a:ext cx="1863246" cy="31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t>SALES</a:t>
          </a:r>
          <a:r>
            <a:rPr lang="en-IN" sz="1600" b="1" baseline="0"/>
            <a:t> DASHBOARD</a:t>
          </a:r>
          <a:endParaRPr lang="en-IN" sz="1600" b="1"/>
        </a:p>
      </xdr:txBody>
    </xdr:sp>
    <xdr:clientData/>
  </xdr:twoCellAnchor>
  <xdr:twoCellAnchor>
    <xdr:from>
      <xdr:col>4</xdr:col>
      <xdr:colOff>407095</xdr:colOff>
      <xdr:row>1</xdr:row>
      <xdr:rowOff>73068</xdr:rowOff>
    </xdr:from>
    <xdr:to>
      <xdr:col>6</xdr:col>
      <xdr:colOff>271396</xdr:colOff>
      <xdr:row>2</xdr:row>
      <xdr:rowOff>62630</xdr:rowOff>
    </xdr:to>
    <xdr:sp macro="" textlink="">
      <xdr:nvSpPr>
        <xdr:cNvPr id="11" name="TextBox 10">
          <a:extLst>
            <a:ext uri="{FF2B5EF4-FFF2-40B4-BE49-F238E27FC236}">
              <a16:creationId xmlns:a16="http://schemas.microsoft.com/office/drawing/2014/main" id="{D5229F88-D151-470E-A53C-1B3E2A0F5978}"/>
            </a:ext>
          </a:extLst>
        </xdr:cNvPr>
        <xdr:cNvSpPr txBox="1"/>
      </xdr:nvSpPr>
      <xdr:spPr>
        <a:xfrm>
          <a:off x="2849670" y="250520"/>
          <a:ext cx="1085589" cy="172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     </a:t>
          </a:r>
          <a:endParaRPr lang="en-IN" sz="1100" b="1"/>
        </a:p>
      </xdr:txBody>
    </xdr:sp>
    <xdr:clientData/>
  </xdr:twoCellAnchor>
  <xdr:twoCellAnchor>
    <xdr:from>
      <xdr:col>7</xdr:col>
      <xdr:colOff>360123</xdr:colOff>
      <xdr:row>1</xdr:row>
      <xdr:rowOff>0</xdr:rowOff>
    </xdr:from>
    <xdr:to>
      <xdr:col>9</xdr:col>
      <xdr:colOff>104383</xdr:colOff>
      <xdr:row>2</xdr:row>
      <xdr:rowOff>62629</xdr:rowOff>
    </xdr:to>
    <xdr:sp macro="" textlink="">
      <xdr:nvSpPr>
        <xdr:cNvPr id="14" name="TextBox 13">
          <a:extLst>
            <a:ext uri="{FF2B5EF4-FFF2-40B4-BE49-F238E27FC236}">
              <a16:creationId xmlns:a16="http://schemas.microsoft.com/office/drawing/2014/main" id="{FE3506D3-39B9-49F3-8F31-0FF102AE88C4}"/>
            </a:ext>
          </a:extLst>
        </xdr:cNvPr>
        <xdr:cNvSpPr txBox="1"/>
      </xdr:nvSpPr>
      <xdr:spPr>
        <a:xfrm>
          <a:off x="4634630" y="177452"/>
          <a:ext cx="965548" cy="24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     </a:t>
          </a:r>
          <a:endParaRPr lang="en-IN" sz="1200" b="1"/>
        </a:p>
      </xdr:txBody>
    </xdr:sp>
    <xdr:clientData/>
  </xdr:twoCellAnchor>
  <xdr:twoCellAnchor>
    <xdr:from>
      <xdr:col>6</xdr:col>
      <xdr:colOff>563669</xdr:colOff>
      <xdr:row>0</xdr:row>
      <xdr:rowOff>67849</xdr:rowOff>
    </xdr:from>
    <xdr:to>
      <xdr:col>9</xdr:col>
      <xdr:colOff>234862</xdr:colOff>
      <xdr:row>2</xdr:row>
      <xdr:rowOff>78287</xdr:rowOff>
    </xdr:to>
    <xdr:sp macro="" textlink="">
      <xdr:nvSpPr>
        <xdr:cNvPr id="15" name="Rectangle: Rounded Corners 14">
          <a:extLst>
            <a:ext uri="{FF2B5EF4-FFF2-40B4-BE49-F238E27FC236}">
              <a16:creationId xmlns:a16="http://schemas.microsoft.com/office/drawing/2014/main" id="{30F99F92-EC7C-43F0-A1F3-CC4B545CFD5E}"/>
            </a:ext>
          </a:extLst>
        </xdr:cNvPr>
        <xdr:cNvSpPr/>
      </xdr:nvSpPr>
      <xdr:spPr>
        <a:xfrm>
          <a:off x="4227532" y="67849"/>
          <a:ext cx="1503125" cy="370561"/>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140917</xdr:colOff>
      <xdr:row>0</xdr:row>
      <xdr:rowOff>52192</xdr:rowOff>
    </xdr:from>
    <xdr:to>
      <xdr:col>9</xdr:col>
      <xdr:colOff>93944</xdr:colOff>
      <xdr:row>2</xdr:row>
      <xdr:rowOff>62630</xdr:rowOff>
    </xdr:to>
    <xdr:sp macro="" textlink="">
      <xdr:nvSpPr>
        <xdr:cNvPr id="16" name="TextBox 15">
          <a:extLst>
            <a:ext uri="{FF2B5EF4-FFF2-40B4-BE49-F238E27FC236}">
              <a16:creationId xmlns:a16="http://schemas.microsoft.com/office/drawing/2014/main" id="{8387C705-AF38-41BB-A6F3-4DA48FF16FF1}"/>
            </a:ext>
          </a:extLst>
        </xdr:cNvPr>
        <xdr:cNvSpPr txBox="1"/>
      </xdr:nvSpPr>
      <xdr:spPr>
        <a:xfrm>
          <a:off x="4415424" y="52192"/>
          <a:ext cx="1174315" cy="370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     </a:t>
          </a:r>
          <a:r>
            <a:rPr lang="en-IN" sz="1100" b="1"/>
            <a:t>Total</a:t>
          </a:r>
          <a:r>
            <a:rPr lang="en-IN" sz="1100" b="1" baseline="0"/>
            <a:t> Profit</a:t>
          </a:r>
          <a:endParaRPr lang="en-IN" sz="1100" b="1"/>
        </a:p>
      </xdr:txBody>
    </xdr:sp>
    <xdr:clientData/>
  </xdr:twoCellAnchor>
  <xdr:twoCellAnchor>
    <xdr:from>
      <xdr:col>9</xdr:col>
      <xdr:colOff>313147</xdr:colOff>
      <xdr:row>0</xdr:row>
      <xdr:rowOff>67849</xdr:rowOff>
    </xdr:from>
    <xdr:to>
      <xdr:col>11</xdr:col>
      <xdr:colOff>594985</xdr:colOff>
      <xdr:row>2</xdr:row>
      <xdr:rowOff>78287</xdr:rowOff>
    </xdr:to>
    <xdr:sp macro="" textlink="">
      <xdr:nvSpPr>
        <xdr:cNvPr id="17" name="Rectangle: Rounded Corners 16">
          <a:extLst>
            <a:ext uri="{FF2B5EF4-FFF2-40B4-BE49-F238E27FC236}">
              <a16:creationId xmlns:a16="http://schemas.microsoft.com/office/drawing/2014/main" id="{B94F504D-FA87-4587-9862-01DBDB845990}"/>
            </a:ext>
          </a:extLst>
        </xdr:cNvPr>
        <xdr:cNvSpPr/>
      </xdr:nvSpPr>
      <xdr:spPr>
        <a:xfrm>
          <a:off x="5808942" y="67849"/>
          <a:ext cx="1503125" cy="370561"/>
        </a:xfrm>
        <a:prstGeom prst="roundRect">
          <a:avLst/>
        </a:prstGeom>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443629</xdr:colOff>
      <xdr:row>0</xdr:row>
      <xdr:rowOff>78288</xdr:rowOff>
    </xdr:from>
    <xdr:to>
      <xdr:col>11</xdr:col>
      <xdr:colOff>391437</xdr:colOff>
      <xdr:row>2</xdr:row>
      <xdr:rowOff>62630</xdr:rowOff>
    </xdr:to>
    <xdr:sp macro="" textlink="">
      <xdr:nvSpPr>
        <xdr:cNvPr id="19" name="TextBox 18">
          <a:extLst>
            <a:ext uri="{FF2B5EF4-FFF2-40B4-BE49-F238E27FC236}">
              <a16:creationId xmlns:a16="http://schemas.microsoft.com/office/drawing/2014/main" id="{8842E817-CC6F-4E93-BC67-FA567E56F51E}"/>
            </a:ext>
          </a:extLst>
        </xdr:cNvPr>
        <xdr:cNvSpPr txBox="1"/>
      </xdr:nvSpPr>
      <xdr:spPr>
        <a:xfrm>
          <a:off x="5939424" y="78288"/>
          <a:ext cx="1169095" cy="34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50" b="1"/>
            <a:t> </a:t>
          </a:r>
          <a:r>
            <a:rPr lang="en-IN" sz="1050" b="1" baseline="0"/>
            <a:t>   </a:t>
          </a:r>
          <a:r>
            <a:rPr lang="en-IN" sz="1100" b="1" baseline="0"/>
            <a:t>Avg </a:t>
          </a:r>
          <a:r>
            <a:rPr lang="en-IN" sz="1100" b="1">
              <a:solidFill>
                <a:schemeClr val="dk1"/>
              </a:solidFill>
              <a:effectLst/>
              <a:latin typeface="+mn-lt"/>
              <a:ea typeface="+mn-ea"/>
              <a:cs typeface="+mn-cs"/>
            </a:rPr>
            <a:t>Profit Margin</a:t>
          </a:r>
          <a:endParaRPr lang="en-IN" sz="1100" b="1">
            <a:effectLst/>
          </a:endParaRPr>
        </a:p>
        <a:p>
          <a:endParaRPr lang="en-IN" sz="1200" b="1"/>
        </a:p>
      </xdr:txBody>
    </xdr:sp>
    <xdr:clientData/>
  </xdr:twoCellAnchor>
  <xdr:twoCellAnchor>
    <xdr:from>
      <xdr:col>4</xdr:col>
      <xdr:colOff>203546</xdr:colOff>
      <xdr:row>0</xdr:row>
      <xdr:rowOff>67848</xdr:rowOff>
    </xdr:from>
    <xdr:to>
      <xdr:col>6</xdr:col>
      <xdr:colOff>485383</xdr:colOff>
      <xdr:row>2</xdr:row>
      <xdr:rowOff>78286</xdr:rowOff>
    </xdr:to>
    <xdr:sp macro="" textlink="">
      <xdr:nvSpPr>
        <xdr:cNvPr id="22" name="Rectangle: Rounded Corners 21">
          <a:extLst>
            <a:ext uri="{FF2B5EF4-FFF2-40B4-BE49-F238E27FC236}">
              <a16:creationId xmlns:a16="http://schemas.microsoft.com/office/drawing/2014/main" id="{8EEF9D94-ACE1-42E5-B9C5-BA2761E765DE}"/>
            </a:ext>
          </a:extLst>
        </xdr:cNvPr>
        <xdr:cNvSpPr/>
      </xdr:nvSpPr>
      <xdr:spPr>
        <a:xfrm>
          <a:off x="2646121" y="67848"/>
          <a:ext cx="1503125" cy="370561"/>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381002</xdr:colOff>
      <xdr:row>0</xdr:row>
      <xdr:rowOff>62630</xdr:rowOff>
    </xdr:from>
    <xdr:to>
      <xdr:col>6</xdr:col>
      <xdr:colOff>334028</xdr:colOff>
      <xdr:row>2</xdr:row>
      <xdr:rowOff>52191</xdr:rowOff>
    </xdr:to>
    <xdr:sp macro="" textlink="">
      <xdr:nvSpPr>
        <xdr:cNvPr id="23" name="TextBox 22">
          <a:extLst>
            <a:ext uri="{FF2B5EF4-FFF2-40B4-BE49-F238E27FC236}">
              <a16:creationId xmlns:a16="http://schemas.microsoft.com/office/drawing/2014/main" id="{1EAEA747-7FD9-4A55-9D8D-CBB9DC7B5735}"/>
            </a:ext>
          </a:extLst>
        </xdr:cNvPr>
        <xdr:cNvSpPr txBox="1"/>
      </xdr:nvSpPr>
      <xdr:spPr>
        <a:xfrm>
          <a:off x="2823577" y="62630"/>
          <a:ext cx="1174314" cy="349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     </a:t>
          </a:r>
          <a:r>
            <a:rPr lang="en-IN" sz="1100" b="1"/>
            <a:t>Total Revenue</a:t>
          </a:r>
        </a:p>
      </xdr:txBody>
    </xdr:sp>
    <xdr:clientData/>
  </xdr:twoCellAnchor>
  <xdr:twoCellAnchor>
    <xdr:from>
      <xdr:col>4</xdr:col>
      <xdr:colOff>365342</xdr:colOff>
      <xdr:row>1</xdr:row>
      <xdr:rowOff>88726</xdr:rowOff>
    </xdr:from>
    <xdr:to>
      <xdr:col>6</xdr:col>
      <xdr:colOff>229643</xdr:colOff>
      <xdr:row>2</xdr:row>
      <xdr:rowOff>78288</xdr:rowOff>
    </xdr:to>
    <xdr:sp macro="" textlink="'Sales Dashboard'!$A$4">
      <xdr:nvSpPr>
        <xdr:cNvPr id="24" name="TextBox 23">
          <a:extLst>
            <a:ext uri="{FF2B5EF4-FFF2-40B4-BE49-F238E27FC236}">
              <a16:creationId xmlns:a16="http://schemas.microsoft.com/office/drawing/2014/main" id="{93DA206A-1F3B-4C21-8A6F-D824F310282D}"/>
            </a:ext>
          </a:extLst>
        </xdr:cNvPr>
        <xdr:cNvSpPr txBox="1"/>
      </xdr:nvSpPr>
      <xdr:spPr>
        <a:xfrm>
          <a:off x="2807917" y="266178"/>
          <a:ext cx="1085589" cy="172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230B43A-C60F-435D-AC31-D77B7D53B77E}" type="TxLink">
            <a:rPr lang="en-US" sz="1100" b="0" i="0" u="none" strike="noStrike">
              <a:solidFill>
                <a:srgbClr val="000000"/>
              </a:solidFill>
              <a:latin typeface="Calibri"/>
              <a:ea typeface="Calibri"/>
              <a:cs typeface="Calibri"/>
            </a:rPr>
            <a:pPr/>
            <a:t> </a:t>
          </a:fld>
          <a:endParaRPr lang="en-IN" sz="1100" b="1"/>
        </a:p>
      </xdr:txBody>
    </xdr:sp>
    <xdr:clientData/>
  </xdr:twoCellAnchor>
  <xdr:twoCellAnchor>
    <xdr:from>
      <xdr:col>5</xdr:col>
      <xdr:colOff>109604</xdr:colOff>
      <xdr:row>1</xdr:row>
      <xdr:rowOff>78287</xdr:rowOff>
    </xdr:from>
    <xdr:to>
      <xdr:col>6</xdr:col>
      <xdr:colOff>427973</xdr:colOff>
      <xdr:row>2</xdr:row>
      <xdr:rowOff>67849</xdr:rowOff>
    </xdr:to>
    <xdr:sp macro="" textlink="'Pivot Table'!A4">
      <xdr:nvSpPr>
        <xdr:cNvPr id="25" name="TextBox 24">
          <a:extLst>
            <a:ext uri="{FF2B5EF4-FFF2-40B4-BE49-F238E27FC236}">
              <a16:creationId xmlns:a16="http://schemas.microsoft.com/office/drawing/2014/main" id="{174D3E87-9A7D-4EF8-81CA-9191C9AFEED5}"/>
            </a:ext>
          </a:extLst>
        </xdr:cNvPr>
        <xdr:cNvSpPr txBox="1"/>
      </xdr:nvSpPr>
      <xdr:spPr>
        <a:xfrm>
          <a:off x="3162823" y="255739"/>
          <a:ext cx="929013" cy="172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53EFC95-51C7-4431-B5D6-B46E43F8C88E}" type="TxLink">
            <a:rPr lang="en-US" sz="1000" b="1" i="0" u="none" strike="noStrike">
              <a:solidFill>
                <a:srgbClr val="000000"/>
              </a:solidFill>
              <a:latin typeface="Calibri"/>
              <a:ea typeface="Calibri"/>
              <a:cs typeface="Calibri"/>
            </a:rPr>
            <a:pPr/>
            <a:t>608011</a:t>
          </a:fld>
          <a:endParaRPr lang="en-IN" sz="1000" b="1"/>
        </a:p>
      </xdr:txBody>
    </xdr:sp>
    <xdr:clientData/>
  </xdr:twoCellAnchor>
  <xdr:twoCellAnchor>
    <xdr:from>
      <xdr:col>6</xdr:col>
      <xdr:colOff>584547</xdr:colOff>
      <xdr:row>1</xdr:row>
      <xdr:rowOff>120042</xdr:rowOff>
    </xdr:from>
    <xdr:to>
      <xdr:col>8</xdr:col>
      <xdr:colOff>448848</xdr:colOff>
      <xdr:row>2</xdr:row>
      <xdr:rowOff>109604</xdr:rowOff>
    </xdr:to>
    <xdr:sp macro="" textlink="'Sales Dashboard'!$A$4">
      <xdr:nvSpPr>
        <xdr:cNvPr id="30" name="TextBox 29">
          <a:extLst>
            <a:ext uri="{FF2B5EF4-FFF2-40B4-BE49-F238E27FC236}">
              <a16:creationId xmlns:a16="http://schemas.microsoft.com/office/drawing/2014/main" id="{3841BEA3-10AA-4357-B863-4D4D29A42B94}"/>
            </a:ext>
          </a:extLst>
        </xdr:cNvPr>
        <xdr:cNvSpPr txBox="1"/>
      </xdr:nvSpPr>
      <xdr:spPr>
        <a:xfrm>
          <a:off x="4248410" y="297494"/>
          <a:ext cx="1085589" cy="172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230B43A-C60F-435D-AC31-D77B7D53B77E}" type="TxLink">
            <a:rPr lang="en-US" sz="1100" b="0" i="0" u="none" strike="noStrike">
              <a:solidFill>
                <a:srgbClr val="000000"/>
              </a:solidFill>
              <a:latin typeface="Calibri"/>
              <a:ea typeface="Calibri"/>
              <a:cs typeface="Calibri"/>
            </a:rPr>
            <a:pPr/>
            <a:t> </a:t>
          </a:fld>
          <a:endParaRPr lang="en-IN" sz="1100" b="1"/>
        </a:p>
      </xdr:txBody>
    </xdr:sp>
    <xdr:clientData/>
  </xdr:twoCellAnchor>
  <xdr:twoCellAnchor>
    <xdr:from>
      <xdr:col>7</xdr:col>
      <xdr:colOff>401877</xdr:colOff>
      <xdr:row>1</xdr:row>
      <xdr:rowOff>67849</xdr:rowOff>
    </xdr:from>
    <xdr:to>
      <xdr:col>9</xdr:col>
      <xdr:colOff>109602</xdr:colOff>
      <xdr:row>2</xdr:row>
      <xdr:rowOff>57411</xdr:rowOff>
    </xdr:to>
    <xdr:sp macro="" textlink="'Pivot Table'!C4">
      <xdr:nvSpPr>
        <xdr:cNvPr id="32" name="TextBox 31">
          <a:extLst>
            <a:ext uri="{FF2B5EF4-FFF2-40B4-BE49-F238E27FC236}">
              <a16:creationId xmlns:a16="http://schemas.microsoft.com/office/drawing/2014/main" id="{EDE44D11-B11E-4D67-9D89-7E511E7CD4D5}"/>
            </a:ext>
          </a:extLst>
        </xdr:cNvPr>
        <xdr:cNvSpPr txBox="1"/>
      </xdr:nvSpPr>
      <xdr:spPr>
        <a:xfrm>
          <a:off x="4676384" y="245301"/>
          <a:ext cx="929013" cy="172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8F1B881-937B-4373-8997-394DF23CA987}" type="TxLink">
            <a:rPr lang="en-US" sz="1000" b="1" i="0" u="none" strike="noStrike">
              <a:solidFill>
                <a:srgbClr val="000000"/>
              </a:solidFill>
              <a:latin typeface="Calibri"/>
              <a:ea typeface="Calibri"/>
              <a:cs typeface="Calibri"/>
            </a:rPr>
            <a:pPr/>
            <a:t>291406</a:t>
          </a:fld>
          <a:endParaRPr lang="en-IN" sz="1000" b="1"/>
        </a:p>
      </xdr:txBody>
    </xdr:sp>
    <xdr:clientData/>
  </xdr:twoCellAnchor>
  <xdr:twoCellAnchor>
    <xdr:from>
      <xdr:col>9</xdr:col>
      <xdr:colOff>328807</xdr:colOff>
      <xdr:row>1</xdr:row>
      <xdr:rowOff>120042</xdr:rowOff>
    </xdr:from>
    <xdr:to>
      <xdr:col>11</xdr:col>
      <xdr:colOff>193109</xdr:colOff>
      <xdr:row>2</xdr:row>
      <xdr:rowOff>109604</xdr:rowOff>
    </xdr:to>
    <xdr:sp macro="" textlink="'Sales Dashboard'!$A$4">
      <xdr:nvSpPr>
        <xdr:cNvPr id="33" name="TextBox 32">
          <a:extLst>
            <a:ext uri="{FF2B5EF4-FFF2-40B4-BE49-F238E27FC236}">
              <a16:creationId xmlns:a16="http://schemas.microsoft.com/office/drawing/2014/main" id="{7A25384C-1930-4CBA-BE57-4736148FE448}"/>
            </a:ext>
          </a:extLst>
        </xdr:cNvPr>
        <xdr:cNvSpPr txBox="1"/>
      </xdr:nvSpPr>
      <xdr:spPr>
        <a:xfrm>
          <a:off x="5824602" y="297494"/>
          <a:ext cx="1085589" cy="172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230B43A-C60F-435D-AC31-D77B7D53B77E}" type="TxLink">
            <a:rPr lang="en-US" sz="1100" b="0" i="0" u="none" strike="noStrike">
              <a:solidFill>
                <a:srgbClr val="000000"/>
              </a:solidFill>
              <a:latin typeface="Calibri"/>
              <a:ea typeface="Calibri"/>
              <a:cs typeface="Calibri"/>
            </a:rPr>
            <a:pPr/>
            <a:t> </a:t>
          </a:fld>
          <a:endParaRPr lang="en-IN" sz="1100" b="1"/>
        </a:p>
      </xdr:txBody>
    </xdr:sp>
    <xdr:clientData/>
  </xdr:twoCellAnchor>
  <xdr:twoCellAnchor>
    <xdr:from>
      <xdr:col>10</xdr:col>
      <xdr:colOff>266179</xdr:colOff>
      <xdr:row>1</xdr:row>
      <xdr:rowOff>67849</xdr:rowOff>
    </xdr:from>
    <xdr:to>
      <xdr:col>11</xdr:col>
      <xdr:colOff>584548</xdr:colOff>
      <xdr:row>2</xdr:row>
      <xdr:rowOff>57411</xdr:rowOff>
    </xdr:to>
    <xdr:sp macro="" textlink="'Pivot Table'!H8">
      <xdr:nvSpPr>
        <xdr:cNvPr id="34" name="TextBox 33">
          <a:extLst>
            <a:ext uri="{FF2B5EF4-FFF2-40B4-BE49-F238E27FC236}">
              <a16:creationId xmlns:a16="http://schemas.microsoft.com/office/drawing/2014/main" id="{FBD1CDE8-26A8-4471-9849-C886ED76DB30}"/>
            </a:ext>
          </a:extLst>
        </xdr:cNvPr>
        <xdr:cNvSpPr txBox="1"/>
      </xdr:nvSpPr>
      <xdr:spPr>
        <a:xfrm>
          <a:off x="6372617" y="245301"/>
          <a:ext cx="929013" cy="172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2934A7F-59EB-4815-B84D-552F5FFD5330}" type="TxLink">
            <a:rPr lang="en-US" sz="1000" b="1" i="0" u="none" strike="noStrike">
              <a:solidFill>
                <a:srgbClr val="000000"/>
              </a:solidFill>
              <a:latin typeface="Calibri"/>
              <a:ea typeface="Calibri"/>
              <a:cs typeface="Calibri"/>
            </a:rPr>
            <a:pPr/>
            <a:t>12.2%</a:t>
          </a:fld>
          <a:endParaRPr lang="en-IN" sz="1000" b="1"/>
        </a:p>
      </xdr:txBody>
    </xdr:sp>
    <xdr:clientData/>
  </xdr:twoCellAnchor>
  <xdr:twoCellAnchor editAs="oneCell">
    <xdr:from>
      <xdr:col>0</xdr:col>
      <xdr:colOff>111368</xdr:colOff>
      <xdr:row>4</xdr:row>
      <xdr:rowOff>47354</xdr:rowOff>
    </xdr:from>
    <xdr:to>
      <xdr:col>1</xdr:col>
      <xdr:colOff>437768</xdr:colOff>
      <xdr:row>9</xdr:row>
      <xdr:rowOff>146815</xdr:rowOff>
    </xdr:to>
    <mc:AlternateContent xmlns:mc="http://schemas.openxmlformats.org/markup-compatibility/2006" xmlns:a14="http://schemas.microsoft.com/office/drawing/2010/main">
      <mc:Choice Requires="a14">
        <xdr:graphicFrame macro="">
          <xdr:nvGraphicFramePr>
            <xdr:cNvPr id="36" name="Product">
              <a:extLst>
                <a:ext uri="{FF2B5EF4-FFF2-40B4-BE49-F238E27FC236}">
                  <a16:creationId xmlns:a16="http://schemas.microsoft.com/office/drawing/2014/main" id="{F548F888-3CEC-40F4-92E8-40EE6AD64AC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1368" y="769548"/>
              <a:ext cx="934863" cy="1009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118446</xdr:colOff>
      <xdr:row>12</xdr:row>
      <xdr:rowOff>24660</xdr:rowOff>
    </xdr:from>
    <xdr:to>
      <xdr:col>1</xdr:col>
      <xdr:colOff>429846</xdr:colOff>
      <xdr:row>19</xdr:row>
      <xdr:rowOff>12706</xdr:rowOff>
    </xdr:to>
    <mc:AlternateContent xmlns:mc="http://schemas.openxmlformats.org/markup-compatibility/2006" xmlns:a14="http://schemas.microsoft.com/office/drawing/2010/main">
      <mc:Choice Requires="a14">
        <xdr:graphicFrame macro="">
          <xdr:nvGraphicFramePr>
            <xdr:cNvPr id="37" name="Region">
              <a:extLst>
                <a:ext uri="{FF2B5EF4-FFF2-40B4-BE49-F238E27FC236}">
                  <a16:creationId xmlns:a16="http://schemas.microsoft.com/office/drawing/2014/main" id="{1078DA1C-2303-4A0A-8143-73BE23A3EA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446" y="2202615"/>
              <a:ext cx="919863" cy="1261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586153</xdr:colOff>
      <xdr:row>2</xdr:row>
      <xdr:rowOff>128953</xdr:rowOff>
    </xdr:from>
    <xdr:to>
      <xdr:col>7</xdr:col>
      <xdr:colOff>369276</xdr:colOff>
      <xdr:row>10</xdr:row>
      <xdr:rowOff>58616</xdr:rowOff>
    </xdr:to>
    <xdr:graphicFrame macro="">
      <xdr:nvGraphicFramePr>
        <xdr:cNvPr id="35" name="Chart 34">
          <a:extLst>
            <a:ext uri="{FF2B5EF4-FFF2-40B4-BE49-F238E27FC236}">
              <a16:creationId xmlns:a16="http://schemas.microsoft.com/office/drawing/2014/main" id="{E2567C0F-42E6-4C29-8AD2-6C9F4DB83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598489</xdr:colOff>
      <xdr:row>10</xdr:row>
      <xdr:rowOff>108046</xdr:rowOff>
    </xdr:from>
    <xdr:to>
      <xdr:col>7</xdr:col>
      <xdr:colOff>381000</xdr:colOff>
      <xdr:row>19</xdr:row>
      <xdr:rowOff>10487</xdr:rowOff>
    </xdr:to>
    <xdr:graphicFrame macro="">
      <xdr:nvGraphicFramePr>
        <xdr:cNvPr id="41" name="Chart 40">
          <a:extLst>
            <a:ext uri="{FF2B5EF4-FFF2-40B4-BE49-F238E27FC236}">
              <a16:creationId xmlns:a16="http://schemas.microsoft.com/office/drawing/2014/main" id="{6ED12C16-5F98-4C68-9062-12C8DB8BF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273726</xdr:colOff>
      <xdr:row>2</xdr:row>
      <xdr:rowOff>166210</xdr:rowOff>
    </xdr:from>
    <xdr:to>
      <xdr:col>1</xdr:col>
      <xdr:colOff>592095</xdr:colOff>
      <xdr:row>3</xdr:row>
      <xdr:rowOff>155772</xdr:rowOff>
    </xdr:to>
    <xdr:sp macro="" textlink="'Pivot Table'!A4">
      <xdr:nvSpPr>
        <xdr:cNvPr id="45" name="TextBox 44">
          <a:extLst>
            <a:ext uri="{FF2B5EF4-FFF2-40B4-BE49-F238E27FC236}">
              <a16:creationId xmlns:a16="http://schemas.microsoft.com/office/drawing/2014/main" id="{FFB854A2-88B0-4303-8B6E-145C6B4A4502}"/>
            </a:ext>
          </a:extLst>
        </xdr:cNvPr>
        <xdr:cNvSpPr txBox="1"/>
      </xdr:nvSpPr>
      <xdr:spPr>
        <a:xfrm>
          <a:off x="273726" y="523764"/>
          <a:ext cx="927969" cy="171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t>PRODUCT</a:t>
          </a:r>
        </a:p>
      </xdr:txBody>
    </xdr:sp>
    <xdr:clientData/>
  </xdr:twoCellAnchor>
  <xdr:twoCellAnchor>
    <xdr:from>
      <xdr:col>0</xdr:col>
      <xdr:colOff>338204</xdr:colOff>
      <xdr:row>10</xdr:row>
      <xdr:rowOff>148627</xdr:rowOff>
    </xdr:from>
    <xdr:to>
      <xdr:col>2</xdr:col>
      <xdr:colOff>46973</xdr:colOff>
      <xdr:row>11</xdr:row>
      <xdr:rowOff>138189</xdr:rowOff>
    </xdr:to>
    <xdr:sp macro="" textlink="'Pivot Table'!A4">
      <xdr:nvSpPr>
        <xdr:cNvPr id="47" name="TextBox 46">
          <a:extLst>
            <a:ext uri="{FF2B5EF4-FFF2-40B4-BE49-F238E27FC236}">
              <a16:creationId xmlns:a16="http://schemas.microsoft.com/office/drawing/2014/main" id="{79416CFE-AA8B-4A7E-BDD9-1D43AB22F14B}"/>
            </a:ext>
          </a:extLst>
        </xdr:cNvPr>
        <xdr:cNvSpPr txBox="1"/>
      </xdr:nvSpPr>
      <xdr:spPr>
        <a:xfrm>
          <a:off x="338204" y="1959842"/>
          <a:ext cx="927969" cy="171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t>REGION</a:t>
          </a:r>
        </a:p>
      </xdr:txBody>
    </xdr:sp>
    <xdr:clientData/>
  </xdr:twoCellAnchor>
  <xdr:twoCellAnchor>
    <xdr:from>
      <xdr:col>7</xdr:col>
      <xdr:colOff>470672</xdr:colOff>
      <xdr:row>10</xdr:row>
      <xdr:rowOff>130791</xdr:rowOff>
    </xdr:from>
    <xdr:to>
      <xdr:col>12</xdr:col>
      <xdr:colOff>51179</xdr:colOff>
      <xdr:row>19</xdr:row>
      <xdr:rowOff>22748</xdr:rowOff>
    </xdr:to>
    <xdr:graphicFrame macro="">
      <xdr:nvGraphicFramePr>
        <xdr:cNvPr id="48" name="Chart 47">
          <a:extLst>
            <a:ext uri="{FF2B5EF4-FFF2-40B4-BE49-F238E27FC236}">
              <a16:creationId xmlns:a16="http://schemas.microsoft.com/office/drawing/2014/main" id="{C8A43BF5-772F-480C-8B80-EED593C3C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426492</xdr:colOff>
      <xdr:row>2</xdr:row>
      <xdr:rowOff>113731</xdr:rowOff>
    </xdr:from>
    <xdr:to>
      <xdr:col>12</xdr:col>
      <xdr:colOff>0</xdr:colOff>
      <xdr:row>10</xdr:row>
      <xdr:rowOff>28433</xdr:rowOff>
    </xdr:to>
    <xdr:graphicFrame macro="">
      <xdr:nvGraphicFramePr>
        <xdr:cNvPr id="28" name="Chart 27">
          <a:extLst>
            <a:ext uri="{FF2B5EF4-FFF2-40B4-BE49-F238E27FC236}">
              <a16:creationId xmlns:a16="http://schemas.microsoft.com/office/drawing/2014/main" id="{EDEAD9F3-BADF-4ACE-ADAF-E0600C87F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5951.777750925925" createdVersion="7" refreshedVersion="7" minRefreshableVersion="3" recordCount="352" xr:uid="{462241AB-44FE-45E6-95E5-F22DCEC8B81D}">
  <cacheSource type="worksheet">
    <worksheetSource name="Table1_2"/>
  </cacheSource>
  <cacheFields count="7">
    <cacheField name="Month_Year " numFmtId="0">
      <sharedItems count="22">
        <s v="Jan-2024"/>
        <s v="Feb-2024"/>
        <s v="Mar-2024"/>
        <s v="Apr-2024"/>
        <s v="May-2024"/>
        <s v="Jun-2024"/>
        <s v="Jul-2024"/>
        <s v="Aug-2024"/>
        <s v="Sep-2024"/>
        <s v="Oct-2024"/>
        <s v="Nov-2024"/>
        <s v="Dec-2024"/>
        <s v="Jan-2025"/>
        <s v="Feb-2025"/>
        <s v="Mar-2025"/>
        <s v="Apr-2025"/>
        <s v="May-2025"/>
        <s v="Jun-2025"/>
        <s v="Jul-2025"/>
        <s v="Aug-2025"/>
        <s v="Sep-2025"/>
        <s v="Oct-2025"/>
      </sharedItems>
    </cacheField>
    <cacheField name="Region" numFmtId="0">
      <sharedItems count="4">
        <s v="North"/>
        <s v="South"/>
        <s v="East"/>
        <s v="West"/>
      </sharedItems>
    </cacheField>
    <cacheField name="Product" numFmtId="0">
      <sharedItems count="4">
        <s v="Product A"/>
        <s v="Product B"/>
        <s v="Product C"/>
        <s v="Product D"/>
      </sharedItems>
    </cacheField>
    <cacheField name="Units Sold" numFmtId="0">
      <sharedItems containsSemiMixedTypes="0" containsString="0" containsNumber="1" containsInteger="1" minValue="20" maxValue="496"/>
    </cacheField>
    <cacheField name="Unit Price" numFmtId="0">
      <sharedItems containsSemiMixedTypes="0" containsString="0" containsNumber="1" minValue="11.431528995474199" maxValue="199.47855160599491"/>
    </cacheField>
    <cacheField name="Revenue" numFmtId="0">
      <sharedItems containsSemiMixedTypes="0" containsString="0" containsNumber="1" minValue="788.04" maxValue="96333.66"/>
    </cacheField>
    <cacheField name="Profit" numFmtId="0">
      <sharedItems containsSemiMixedTypes="0" containsString="0" containsNumber="1" minValue="73.92" maxValue="18164.080000000002"/>
    </cacheField>
  </cacheFields>
  <extLst>
    <ext xmlns:x14="http://schemas.microsoft.com/office/spreadsheetml/2009/9/main" uri="{725AE2AE-9491-48be-B2B4-4EB974FC3084}">
      <x14:pivotCacheDefinition pivotCacheId="404959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2">
  <r>
    <x v="0"/>
    <x v="0"/>
    <x v="0"/>
    <n v="122"/>
    <n v="161.34316750344419"/>
    <n v="19683.87"/>
    <n v="2772.96"/>
  </r>
  <r>
    <x v="0"/>
    <x v="0"/>
    <x v="1"/>
    <n v="40"/>
    <n v="39.643541684062939"/>
    <n v="1585.74"/>
    <n v="281.77"/>
  </r>
  <r>
    <x v="0"/>
    <x v="0"/>
    <x v="2"/>
    <n v="486"/>
    <n v="28.995234005420549"/>
    <n v="14091.68"/>
    <n v="1687.91"/>
  </r>
  <r>
    <x v="0"/>
    <x v="0"/>
    <x v="3"/>
    <n v="379"/>
    <n v="144.5337897812486"/>
    <n v="54778.31"/>
    <n v="5485.72"/>
  </r>
  <r>
    <x v="0"/>
    <x v="1"/>
    <x v="0"/>
    <n v="169"/>
    <n v="20.718200015149051"/>
    <n v="3501.38"/>
    <n v="401.47"/>
  </r>
  <r>
    <x v="0"/>
    <x v="1"/>
    <x v="1"/>
    <n v="405"/>
    <n v="44.546743769349121"/>
    <n v="18041.43"/>
    <n v="3109.62"/>
  </r>
  <r>
    <x v="0"/>
    <x v="1"/>
    <x v="2"/>
    <n v="296"/>
    <n v="127.32148682926611"/>
    <n v="37687.160000000003"/>
    <n v="5292.95"/>
  </r>
  <r>
    <x v="0"/>
    <x v="1"/>
    <x v="3"/>
    <n v="189"/>
    <n v="18.866476010586929"/>
    <n v="3565.76"/>
    <n v="290.41000000000003"/>
  </r>
  <r>
    <x v="0"/>
    <x v="2"/>
    <x v="0"/>
    <n v="207"/>
    <n v="79.60875022580143"/>
    <n v="16479.009999999998"/>
    <n v="2790.11"/>
  </r>
  <r>
    <x v="0"/>
    <x v="2"/>
    <x v="1"/>
    <n v="70"/>
    <n v="82.667778340760918"/>
    <n v="5786.74"/>
    <n v="1131.22"/>
  </r>
  <r>
    <x v="0"/>
    <x v="2"/>
    <x v="2"/>
    <n v="263"/>
    <n v="122.5587680837881"/>
    <n v="32232.959999999999"/>
    <n v="5558.39"/>
  </r>
  <r>
    <x v="0"/>
    <x v="2"/>
    <x v="3"/>
    <n v="40"/>
    <n v="95.594857874213162"/>
    <n v="3823.79"/>
    <n v="419.44"/>
  </r>
  <r>
    <x v="0"/>
    <x v="3"/>
    <x v="0"/>
    <n v="293"/>
    <n v="190.2882520781333"/>
    <n v="55754.46"/>
    <n v="5742"/>
  </r>
  <r>
    <x v="0"/>
    <x v="3"/>
    <x v="1"/>
    <n v="359"/>
    <n v="55.794838544942223"/>
    <n v="20030.349999999999"/>
    <n v="3388.46"/>
  </r>
  <r>
    <x v="0"/>
    <x v="3"/>
    <x v="2"/>
    <n v="463"/>
    <n v="33.187264620507968"/>
    <n v="15365.7"/>
    <n v="2064.0300000000002"/>
  </r>
  <r>
    <x v="0"/>
    <x v="3"/>
    <x v="3"/>
    <n v="225"/>
    <n v="84.301515438915757"/>
    <n v="18967.84"/>
    <n v="1799.85"/>
  </r>
  <r>
    <x v="1"/>
    <x v="0"/>
    <x v="0"/>
    <n v="69"/>
    <n v="135.87923402725659"/>
    <n v="9375.67"/>
    <n v="1258"/>
  </r>
  <r>
    <x v="1"/>
    <x v="0"/>
    <x v="1"/>
    <n v="125"/>
    <n v="117.86306228579841"/>
    <n v="14732.88"/>
    <n v="2221.8200000000002"/>
  </r>
  <r>
    <x v="1"/>
    <x v="0"/>
    <x v="2"/>
    <n v="496"/>
    <n v="194.22107927526611"/>
    <n v="96333.66"/>
    <n v="15834.63"/>
  </r>
  <r>
    <x v="1"/>
    <x v="0"/>
    <x v="3"/>
    <n v="323"/>
    <n v="72.042746073108731"/>
    <n v="23269.81"/>
    <n v="2970.05"/>
  </r>
  <r>
    <x v="1"/>
    <x v="1"/>
    <x v="0"/>
    <n v="481"/>
    <n v="47.236743859637578"/>
    <n v="22720.87"/>
    <n v="2446.7399999999998"/>
  </r>
  <r>
    <x v="1"/>
    <x v="1"/>
    <x v="1"/>
    <n v="227"/>
    <n v="151.9908209261024"/>
    <n v="34501.919999999998"/>
    <n v="5657.55"/>
  </r>
  <r>
    <x v="1"/>
    <x v="1"/>
    <x v="2"/>
    <n v="386"/>
    <n v="167.46012673886659"/>
    <n v="64639.61"/>
    <n v="7308.57"/>
  </r>
  <r>
    <x v="1"/>
    <x v="1"/>
    <x v="3"/>
    <n v="399"/>
    <n v="62.439844584283243"/>
    <n v="24913.5"/>
    <n v="1803.44"/>
  </r>
  <r>
    <x v="1"/>
    <x v="2"/>
    <x v="0"/>
    <n v="176"/>
    <n v="162.41742634326761"/>
    <n v="28585.47"/>
    <n v="3614.96"/>
  </r>
  <r>
    <x v="1"/>
    <x v="2"/>
    <x v="1"/>
    <n v="491"/>
    <n v="12.675166315866051"/>
    <n v="6223.51"/>
    <n v="1320.84"/>
  </r>
  <r>
    <x v="1"/>
    <x v="2"/>
    <x v="2"/>
    <n v="100"/>
    <n v="145.1549710222435"/>
    <n v="14515.5"/>
    <n v="2605.83"/>
  </r>
  <r>
    <x v="1"/>
    <x v="2"/>
    <x v="3"/>
    <n v="250"/>
    <n v="133.70463484536941"/>
    <n v="33426.160000000003"/>
    <n v="4882.67"/>
  </r>
  <r>
    <x v="1"/>
    <x v="3"/>
    <x v="0"/>
    <n v="47"/>
    <n v="173.98965091636279"/>
    <n v="8177.51"/>
    <n v="693.75"/>
  </r>
  <r>
    <x v="1"/>
    <x v="3"/>
    <x v="1"/>
    <n v="67"/>
    <n v="80.455467917670603"/>
    <n v="5390.52"/>
    <n v="1061.8900000000001"/>
  </r>
  <r>
    <x v="1"/>
    <x v="3"/>
    <x v="2"/>
    <n v="81"/>
    <n v="71.784831185081941"/>
    <n v="5814.57"/>
    <n v="937.6"/>
  </r>
  <r>
    <x v="1"/>
    <x v="3"/>
    <x v="3"/>
    <n v="494"/>
    <n v="116.6362509110632"/>
    <n v="57618.31"/>
    <n v="7036.62"/>
  </r>
  <r>
    <x v="2"/>
    <x v="0"/>
    <x v="0"/>
    <n v="246"/>
    <n v="32.722906728277323"/>
    <n v="8049.84"/>
    <n v="1203.1199999999999"/>
  </r>
  <r>
    <x v="2"/>
    <x v="0"/>
    <x v="1"/>
    <n v="237"/>
    <n v="54.837134752301587"/>
    <n v="12996.4"/>
    <n v="2676.11"/>
  </r>
  <r>
    <x v="2"/>
    <x v="0"/>
    <x v="2"/>
    <n v="417"/>
    <n v="103.82116330923419"/>
    <n v="43293.43"/>
    <n v="4658.59"/>
  </r>
  <r>
    <x v="2"/>
    <x v="0"/>
    <x v="3"/>
    <n v="61"/>
    <n v="93.473935354496319"/>
    <n v="5701.91"/>
    <n v="720.94"/>
  </r>
  <r>
    <x v="2"/>
    <x v="1"/>
    <x v="0"/>
    <n v="198"/>
    <n v="15.971545280479511"/>
    <n v="3162.37"/>
    <n v="258.13"/>
  </r>
  <r>
    <x v="2"/>
    <x v="1"/>
    <x v="1"/>
    <n v="115"/>
    <n v="142.1480564209642"/>
    <n v="16347.03"/>
    <n v="3119.83"/>
  </r>
  <r>
    <x v="2"/>
    <x v="1"/>
    <x v="2"/>
    <n v="426"/>
    <n v="124.83930206278529"/>
    <n v="53181.54"/>
    <n v="5936.55"/>
  </r>
  <r>
    <x v="2"/>
    <x v="1"/>
    <x v="3"/>
    <n v="32"/>
    <n v="24.626182867470671"/>
    <n v="788.04"/>
    <n v="73.92"/>
  </r>
  <r>
    <x v="2"/>
    <x v="2"/>
    <x v="0"/>
    <n v="206"/>
    <n v="142.00913727754391"/>
    <n v="29253.88"/>
    <n v="4267.01"/>
  </r>
  <r>
    <x v="2"/>
    <x v="2"/>
    <x v="1"/>
    <n v="81"/>
    <n v="130.34671373698049"/>
    <n v="10558.08"/>
    <n v="2300.9499999999998"/>
  </r>
  <r>
    <x v="2"/>
    <x v="2"/>
    <x v="2"/>
    <n v="153"/>
    <n v="96.741568391752949"/>
    <n v="14801.46"/>
    <n v="2393.4699999999998"/>
  </r>
  <r>
    <x v="2"/>
    <x v="2"/>
    <x v="3"/>
    <n v="465"/>
    <n v="112.47502596397359"/>
    <n v="52300.89"/>
    <n v="4813"/>
  </r>
  <r>
    <x v="2"/>
    <x v="3"/>
    <x v="0"/>
    <n v="367"/>
    <n v="77.696589234625236"/>
    <n v="28514.65"/>
    <n v="3131.94"/>
  </r>
  <r>
    <x v="2"/>
    <x v="3"/>
    <x v="1"/>
    <n v="302"/>
    <n v="91.150479838988701"/>
    <n v="27527.439999999999"/>
    <n v="5071.08"/>
  </r>
  <r>
    <x v="2"/>
    <x v="3"/>
    <x v="2"/>
    <n v="135"/>
    <n v="76.988082703492111"/>
    <n v="10393.39"/>
    <n v="1326.13"/>
  </r>
  <r>
    <x v="2"/>
    <x v="3"/>
    <x v="3"/>
    <n v="430"/>
    <n v="89.308090598268009"/>
    <n v="38402.480000000003"/>
    <n v="3259.11"/>
  </r>
  <r>
    <x v="3"/>
    <x v="0"/>
    <x v="0"/>
    <n v="184"/>
    <n v="141.56284624915139"/>
    <n v="26047.56"/>
    <n v="2913.69"/>
  </r>
  <r>
    <x v="3"/>
    <x v="0"/>
    <x v="1"/>
    <n v="334"/>
    <n v="71.408557083943492"/>
    <n v="23850.46"/>
    <n v="4141.7"/>
  </r>
  <r>
    <x v="3"/>
    <x v="0"/>
    <x v="2"/>
    <n v="115"/>
    <n v="116.0393803832948"/>
    <n v="13344.53"/>
    <n v="1958.25"/>
  </r>
  <r>
    <x v="3"/>
    <x v="0"/>
    <x v="3"/>
    <n v="461"/>
    <n v="192.86498603900111"/>
    <n v="88910.76"/>
    <n v="9519.7199999999993"/>
  </r>
  <r>
    <x v="3"/>
    <x v="1"/>
    <x v="0"/>
    <n v="314"/>
    <n v="104.4772161195532"/>
    <n v="32805.85"/>
    <n v="2904.94"/>
  </r>
  <r>
    <x v="3"/>
    <x v="1"/>
    <x v="1"/>
    <n v="100"/>
    <n v="60.68839271230415"/>
    <n v="6068.84"/>
    <n v="911.23"/>
  </r>
  <r>
    <x v="3"/>
    <x v="1"/>
    <x v="2"/>
    <n v="21"/>
    <n v="105.5090144134837"/>
    <n v="2215.69"/>
    <n v="301.67"/>
  </r>
  <r>
    <x v="3"/>
    <x v="1"/>
    <x v="3"/>
    <n v="149"/>
    <n v="110.87757083025591"/>
    <n v="16520.759999999998"/>
    <n v="1586.5"/>
  </r>
  <r>
    <x v="3"/>
    <x v="2"/>
    <x v="0"/>
    <n v="237"/>
    <n v="197.2735862810141"/>
    <n v="46753.84"/>
    <n v="7263.02"/>
  </r>
  <r>
    <x v="3"/>
    <x v="2"/>
    <x v="1"/>
    <n v="222"/>
    <n v="80.23434665166684"/>
    <n v="17812.02"/>
    <n v="3152.8"/>
  </r>
  <r>
    <x v="3"/>
    <x v="2"/>
    <x v="2"/>
    <n v="420"/>
    <n v="148.36110623625331"/>
    <n v="62311.66"/>
    <n v="12341.19"/>
  </r>
  <r>
    <x v="3"/>
    <x v="2"/>
    <x v="3"/>
    <n v="217"/>
    <n v="85.776644064465088"/>
    <n v="18613.53"/>
    <n v="1711.76"/>
  </r>
  <r>
    <x v="3"/>
    <x v="3"/>
    <x v="0"/>
    <n v="259"/>
    <n v="161.68557374706469"/>
    <n v="41876.559999999998"/>
    <n v="4839.34"/>
  </r>
  <r>
    <x v="3"/>
    <x v="3"/>
    <x v="1"/>
    <n v="483"/>
    <n v="17.74727689540514"/>
    <n v="8571.93"/>
    <n v="1294.8599999999999"/>
  </r>
  <r>
    <x v="3"/>
    <x v="3"/>
    <x v="2"/>
    <n v="167"/>
    <n v="71.932191988358113"/>
    <n v="12012.68"/>
    <n v="1914.37"/>
  </r>
  <r>
    <x v="3"/>
    <x v="3"/>
    <x v="3"/>
    <n v="166"/>
    <n v="76.246537585428584"/>
    <n v="12656.93"/>
    <n v="961.55"/>
  </r>
  <r>
    <x v="4"/>
    <x v="0"/>
    <x v="0"/>
    <n v="218"/>
    <n v="43.129621510948382"/>
    <n v="9402.26"/>
    <n v="1049.4000000000001"/>
  </r>
  <r>
    <x v="4"/>
    <x v="0"/>
    <x v="1"/>
    <n v="357"/>
    <n v="169.16492012239229"/>
    <n v="60391.88"/>
    <n v="13346.53"/>
  </r>
  <r>
    <x v="4"/>
    <x v="0"/>
    <x v="2"/>
    <n v="286"/>
    <n v="74.802606699549116"/>
    <n v="21393.55"/>
    <n v="3270.33"/>
  </r>
  <r>
    <x v="4"/>
    <x v="0"/>
    <x v="3"/>
    <n v="271"/>
    <n v="43.241436148227884"/>
    <n v="11718.43"/>
    <n v="1419.36"/>
  </r>
  <r>
    <x v="4"/>
    <x v="1"/>
    <x v="0"/>
    <n v="131"/>
    <n v="115.48815420389781"/>
    <n v="15128.95"/>
    <n v="1177.79"/>
  </r>
  <r>
    <x v="4"/>
    <x v="1"/>
    <x v="1"/>
    <n v="323"/>
    <n v="193.42967674487079"/>
    <n v="62477.79"/>
    <n v="10851.93"/>
  </r>
  <r>
    <x v="4"/>
    <x v="1"/>
    <x v="2"/>
    <n v="472"/>
    <n v="181.07943086103279"/>
    <n v="85469.49"/>
    <n v="9504.14"/>
  </r>
  <r>
    <x v="4"/>
    <x v="1"/>
    <x v="3"/>
    <n v="118"/>
    <n v="143.06798769482651"/>
    <n v="16882.02"/>
    <n v="1921.42"/>
  </r>
  <r>
    <x v="4"/>
    <x v="2"/>
    <x v="0"/>
    <n v="227"/>
    <n v="180.45094939098959"/>
    <n v="40962.370000000003"/>
    <n v="5939.95"/>
  </r>
  <r>
    <x v="4"/>
    <x v="2"/>
    <x v="1"/>
    <n v="427"/>
    <n v="171.67640526582741"/>
    <n v="73305.83"/>
    <n v="15169.1"/>
  </r>
  <r>
    <x v="4"/>
    <x v="2"/>
    <x v="2"/>
    <n v="132"/>
    <n v="40.709455677976621"/>
    <n v="5373.65"/>
    <n v="937.84"/>
  </r>
  <r>
    <x v="4"/>
    <x v="2"/>
    <x v="3"/>
    <n v="246"/>
    <n v="80.733725646731187"/>
    <n v="19860.5"/>
    <n v="2719.86"/>
  </r>
  <r>
    <x v="4"/>
    <x v="3"/>
    <x v="0"/>
    <n v="492"/>
    <n v="136.0653361305306"/>
    <n v="66944.149999999994"/>
    <n v="10196.629999999999"/>
  </r>
  <r>
    <x v="4"/>
    <x v="3"/>
    <x v="1"/>
    <n v="227"/>
    <n v="198.94691789605591"/>
    <n v="45160.95"/>
    <n v="8331.14"/>
  </r>
  <r>
    <x v="4"/>
    <x v="3"/>
    <x v="2"/>
    <n v="180"/>
    <n v="13.43431908694896"/>
    <n v="2418.1799999999998"/>
    <n v="286.31"/>
  </r>
  <r>
    <x v="4"/>
    <x v="3"/>
    <x v="3"/>
    <n v="403"/>
    <n v="151.39239938074681"/>
    <n v="61011.14"/>
    <n v="5765.2"/>
  </r>
  <r>
    <x v="5"/>
    <x v="0"/>
    <x v="0"/>
    <n v="214"/>
    <n v="134.94644953706521"/>
    <n v="28878.54"/>
    <n v="3253.09"/>
  </r>
  <r>
    <x v="5"/>
    <x v="0"/>
    <x v="1"/>
    <n v="390"/>
    <n v="130.90319745532011"/>
    <n v="51052.25"/>
    <n v="9848.86"/>
  </r>
  <r>
    <x v="5"/>
    <x v="0"/>
    <x v="2"/>
    <n v="41"/>
    <n v="56.358032242025878"/>
    <n v="2310.6799999999998"/>
    <n v="366.15"/>
  </r>
  <r>
    <x v="5"/>
    <x v="0"/>
    <x v="3"/>
    <n v="457"/>
    <n v="182.1587696665253"/>
    <n v="83246.559999999998"/>
    <n v="9725.1200000000008"/>
  </r>
  <r>
    <x v="5"/>
    <x v="1"/>
    <x v="0"/>
    <n v="46"/>
    <n v="161.0141476729132"/>
    <n v="7406.65"/>
    <n v="1219.79"/>
  </r>
  <r>
    <x v="5"/>
    <x v="1"/>
    <x v="1"/>
    <n v="467"/>
    <n v="174.19183736366159"/>
    <n v="81347.59"/>
    <n v="13981.64"/>
  </r>
  <r>
    <x v="5"/>
    <x v="1"/>
    <x v="2"/>
    <n v="336"/>
    <n v="104.8467421781029"/>
    <n v="35228.51"/>
    <n v="5974.65"/>
  </r>
  <r>
    <x v="5"/>
    <x v="1"/>
    <x v="3"/>
    <n v="36"/>
    <n v="198.96459705149479"/>
    <n v="7162.73"/>
    <n v="701.49"/>
  </r>
  <r>
    <x v="5"/>
    <x v="2"/>
    <x v="0"/>
    <n v="177"/>
    <n v="191.2464296304916"/>
    <n v="33850.620000000003"/>
    <n v="4587.8"/>
  </r>
  <r>
    <x v="5"/>
    <x v="2"/>
    <x v="1"/>
    <n v="252"/>
    <n v="191.08365093455109"/>
    <n v="48153.08"/>
    <n v="10318.24"/>
  </r>
  <r>
    <x v="5"/>
    <x v="2"/>
    <x v="2"/>
    <n v="368"/>
    <n v="91.354988180289723"/>
    <n v="33618.639999999999"/>
    <n v="5410.95"/>
  </r>
  <r>
    <x v="5"/>
    <x v="2"/>
    <x v="3"/>
    <n v="488"/>
    <n v="46.273095918565737"/>
    <n v="22581.27"/>
    <n v="3060.69"/>
  </r>
  <r>
    <x v="5"/>
    <x v="3"/>
    <x v="0"/>
    <n v="180"/>
    <n v="70.215180979692747"/>
    <n v="12638.73"/>
    <n v="1507.57"/>
  </r>
  <r>
    <x v="5"/>
    <x v="3"/>
    <x v="1"/>
    <n v="242"/>
    <n v="170.40049673799919"/>
    <n v="41236.92"/>
    <n v="6189.05"/>
  </r>
  <r>
    <x v="5"/>
    <x v="3"/>
    <x v="2"/>
    <n v="342"/>
    <n v="118.3116223169793"/>
    <n v="40462.57"/>
    <n v="6053.97"/>
  </r>
  <r>
    <x v="5"/>
    <x v="3"/>
    <x v="3"/>
    <n v="361"/>
    <n v="78.142888446271144"/>
    <n v="28209.58"/>
    <n v="2223.5100000000002"/>
  </r>
  <r>
    <x v="6"/>
    <x v="0"/>
    <x v="0"/>
    <n v="146"/>
    <n v="108.48263394911"/>
    <n v="15838.46"/>
    <n v="2172.34"/>
  </r>
  <r>
    <x v="6"/>
    <x v="0"/>
    <x v="1"/>
    <n v="436"/>
    <n v="35.958052973985467"/>
    <n v="15677.71"/>
    <n v="3154.6"/>
  </r>
  <r>
    <x v="6"/>
    <x v="0"/>
    <x v="2"/>
    <n v="265"/>
    <n v="78.303318731753478"/>
    <n v="20750.38"/>
    <n v="3695.69"/>
  </r>
  <r>
    <x v="6"/>
    <x v="0"/>
    <x v="3"/>
    <n v="374"/>
    <n v="58.679319282947027"/>
    <n v="21946.07"/>
    <n v="2149"/>
  </r>
  <r>
    <x v="6"/>
    <x v="1"/>
    <x v="0"/>
    <n v="427"/>
    <n v="183.51570498572951"/>
    <n v="78361.210000000006"/>
    <n v="9426.93"/>
  </r>
  <r>
    <x v="6"/>
    <x v="1"/>
    <x v="1"/>
    <n v="192"/>
    <n v="46.912051167288027"/>
    <n v="9007.11"/>
    <n v="2225.25"/>
  </r>
  <r>
    <x v="6"/>
    <x v="1"/>
    <x v="2"/>
    <n v="283"/>
    <n v="143.3737066789636"/>
    <n v="40574.76"/>
    <n v="5868.97"/>
  </r>
  <r>
    <x v="6"/>
    <x v="1"/>
    <x v="3"/>
    <n v="490"/>
    <n v="15.24718665600389"/>
    <n v="7471.12"/>
    <n v="698.73"/>
  </r>
  <r>
    <x v="6"/>
    <x v="2"/>
    <x v="0"/>
    <n v="373"/>
    <n v="27.856568569765109"/>
    <n v="10390.5"/>
    <n v="1353.81"/>
  </r>
  <r>
    <x v="6"/>
    <x v="2"/>
    <x v="1"/>
    <n v="172"/>
    <n v="39.457907178271398"/>
    <n v="6786.76"/>
    <n v="1368.47"/>
  </r>
  <r>
    <x v="6"/>
    <x v="2"/>
    <x v="2"/>
    <n v="209"/>
    <n v="64.442837904374045"/>
    <n v="13468.55"/>
    <n v="2177.9899999999998"/>
  </r>
  <r>
    <x v="6"/>
    <x v="2"/>
    <x v="3"/>
    <n v="199"/>
    <n v="17.378599541590411"/>
    <n v="3458.34"/>
    <n v="420.55"/>
  </r>
  <r>
    <x v="6"/>
    <x v="3"/>
    <x v="0"/>
    <n v="290"/>
    <n v="78.436221868139953"/>
    <n v="22746.5"/>
    <n v="2645.09"/>
  </r>
  <r>
    <x v="6"/>
    <x v="3"/>
    <x v="1"/>
    <n v="72"/>
    <n v="61.593154005750961"/>
    <n v="4434.71"/>
    <n v="680.48"/>
  </r>
  <r>
    <x v="6"/>
    <x v="3"/>
    <x v="2"/>
    <n v="127"/>
    <n v="128.34919040560999"/>
    <n v="16300.35"/>
    <n v="3142.39"/>
  </r>
  <r>
    <x v="6"/>
    <x v="3"/>
    <x v="3"/>
    <n v="330"/>
    <n v="36.287087559382257"/>
    <n v="11974.74"/>
    <n v="1579.09"/>
  </r>
  <r>
    <x v="7"/>
    <x v="0"/>
    <x v="0"/>
    <n v="163"/>
    <n v="195.4118950978816"/>
    <n v="31852.14"/>
    <n v="2850.68"/>
  </r>
  <r>
    <x v="7"/>
    <x v="0"/>
    <x v="1"/>
    <n v="164"/>
    <n v="85.775971274510965"/>
    <n v="14067.26"/>
    <n v="2725.24"/>
  </r>
  <r>
    <x v="7"/>
    <x v="0"/>
    <x v="2"/>
    <n v="294"/>
    <n v="93.404569934070864"/>
    <n v="27460.94"/>
    <n v="3969.85"/>
  </r>
  <r>
    <x v="7"/>
    <x v="0"/>
    <x v="3"/>
    <n v="77"/>
    <n v="183.89060824903129"/>
    <n v="14159.58"/>
    <n v="2028.02"/>
  </r>
  <r>
    <x v="7"/>
    <x v="1"/>
    <x v="0"/>
    <n v="258"/>
    <n v="57.546150651273109"/>
    <n v="14846.91"/>
    <n v="2157.39"/>
  </r>
  <r>
    <x v="7"/>
    <x v="1"/>
    <x v="1"/>
    <n v="256"/>
    <n v="63.187440419729143"/>
    <n v="16175.98"/>
    <n v="2880.94"/>
  </r>
  <r>
    <x v="7"/>
    <x v="1"/>
    <x v="2"/>
    <n v="291"/>
    <n v="108.1722889110477"/>
    <n v="31478.14"/>
    <n v="3911.09"/>
  </r>
  <r>
    <x v="7"/>
    <x v="1"/>
    <x v="3"/>
    <n v="368"/>
    <n v="89.72401186128009"/>
    <n v="33018.44"/>
    <n v="4241.96"/>
  </r>
  <r>
    <x v="7"/>
    <x v="2"/>
    <x v="0"/>
    <n v="95"/>
    <n v="117.5470699938745"/>
    <n v="11166.97"/>
    <n v="1411.5"/>
  </r>
  <r>
    <x v="7"/>
    <x v="2"/>
    <x v="1"/>
    <n v="66"/>
    <n v="17.73847244060433"/>
    <n v="1170.74"/>
    <n v="227.98"/>
  </r>
  <r>
    <x v="7"/>
    <x v="2"/>
    <x v="2"/>
    <n v="257"/>
    <n v="196.1070004380866"/>
    <n v="50399.5"/>
    <n v="9272.59"/>
  </r>
  <r>
    <x v="7"/>
    <x v="2"/>
    <x v="3"/>
    <n v="119"/>
    <n v="42.908355282902882"/>
    <n v="5106.09"/>
    <n v="673.99"/>
  </r>
  <r>
    <x v="7"/>
    <x v="3"/>
    <x v="0"/>
    <n v="241"/>
    <n v="133.45699970212499"/>
    <n v="32163.14"/>
    <n v="3490.09"/>
  </r>
  <r>
    <x v="7"/>
    <x v="3"/>
    <x v="1"/>
    <n v="413"/>
    <n v="128.91338398570491"/>
    <n v="53241.23"/>
    <n v="9875.83"/>
  </r>
  <r>
    <x v="7"/>
    <x v="3"/>
    <x v="2"/>
    <n v="461"/>
    <n v="105.1975779438992"/>
    <n v="48496.08"/>
    <n v="8907.32"/>
  </r>
  <r>
    <x v="7"/>
    <x v="3"/>
    <x v="3"/>
    <n v="35"/>
    <n v="23.408062006081671"/>
    <n v="819.28"/>
    <n v="84.61"/>
  </r>
  <r>
    <x v="8"/>
    <x v="0"/>
    <x v="0"/>
    <n v="266"/>
    <n v="189.40780345378181"/>
    <n v="50382.48"/>
    <n v="6896.42"/>
  </r>
  <r>
    <x v="8"/>
    <x v="0"/>
    <x v="1"/>
    <n v="359"/>
    <n v="119.34009379641699"/>
    <n v="42843.09"/>
    <n v="8933.84"/>
  </r>
  <r>
    <x v="8"/>
    <x v="0"/>
    <x v="2"/>
    <n v="197"/>
    <n v="118.9397379176673"/>
    <n v="23431.13"/>
    <n v="3855.35"/>
  </r>
  <r>
    <x v="8"/>
    <x v="0"/>
    <x v="3"/>
    <n v="446"/>
    <n v="188.8783136675398"/>
    <n v="84239.73"/>
    <n v="8809.85"/>
  </r>
  <r>
    <x v="8"/>
    <x v="1"/>
    <x v="0"/>
    <n v="342"/>
    <n v="165.88110031654091"/>
    <n v="56731.34"/>
    <n v="4941.3599999999997"/>
  </r>
  <r>
    <x v="8"/>
    <x v="1"/>
    <x v="1"/>
    <n v="304"/>
    <n v="23.17864716628144"/>
    <n v="7046.31"/>
    <n v="1281.2"/>
  </r>
  <r>
    <x v="8"/>
    <x v="1"/>
    <x v="2"/>
    <n v="114"/>
    <n v="81.679225813315412"/>
    <n v="9311.43"/>
    <n v="1324.14"/>
  </r>
  <r>
    <x v="8"/>
    <x v="1"/>
    <x v="3"/>
    <n v="234"/>
    <n v="23.525843207443511"/>
    <n v="5505.05"/>
    <n v="448.11"/>
  </r>
  <r>
    <x v="8"/>
    <x v="2"/>
    <x v="0"/>
    <n v="283"/>
    <n v="83.225357983457357"/>
    <n v="23552.78"/>
    <n v="2767.47"/>
  </r>
  <r>
    <x v="8"/>
    <x v="2"/>
    <x v="1"/>
    <n v="134"/>
    <n v="63.552407206945993"/>
    <n v="8516.02"/>
    <n v="1921.54"/>
  </r>
  <r>
    <x v="8"/>
    <x v="2"/>
    <x v="2"/>
    <n v="215"/>
    <n v="141.6491681514685"/>
    <n v="30454.57"/>
    <n v="5499.75"/>
  </r>
  <r>
    <x v="8"/>
    <x v="2"/>
    <x v="3"/>
    <n v="395"/>
    <n v="149.66349832273829"/>
    <n v="59117.08"/>
    <n v="6876.63"/>
  </r>
  <r>
    <x v="8"/>
    <x v="3"/>
    <x v="0"/>
    <n v="296"/>
    <n v="193.84030478884699"/>
    <n v="57376.73"/>
    <n v="4054.51"/>
  </r>
  <r>
    <x v="8"/>
    <x v="3"/>
    <x v="1"/>
    <n v="427"/>
    <n v="163.29860046078019"/>
    <n v="69728.5"/>
    <n v="14140.34"/>
  </r>
  <r>
    <x v="8"/>
    <x v="3"/>
    <x v="2"/>
    <n v="196"/>
    <n v="149.01307350693159"/>
    <n v="29206.560000000001"/>
    <n v="4020.13"/>
  </r>
  <r>
    <x v="8"/>
    <x v="3"/>
    <x v="3"/>
    <n v="115"/>
    <n v="74.752672648073386"/>
    <n v="8596.56"/>
    <n v="722.5"/>
  </r>
  <r>
    <x v="9"/>
    <x v="0"/>
    <x v="0"/>
    <n v="209"/>
    <n v="116.754671507317"/>
    <n v="24401.73"/>
    <n v="3545.32"/>
  </r>
  <r>
    <x v="9"/>
    <x v="0"/>
    <x v="1"/>
    <n v="298"/>
    <n v="153.36314607608961"/>
    <n v="45702.22"/>
    <n v="7667.77"/>
  </r>
  <r>
    <x v="9"/>
    <x v="0"/>
    <x v="2"/>
    <n v="380"/>
    <n v="81.768488373496027"/>
    <n v="31072.03"/>
    <n v="4768.95"/>
  </r>
  <r>
    <x v="9"/>
    <x v="0"/>
    <x v="3"/>
    <n v="236"/>
    <n v="70.809424195816234"/>
    <n v="16711.02"/>
    <n v="2925.76"/>
  </r>
  <r>
    <x v="9"/>
    <x v="1"/>
    <x v="0"/>
    <n v="206"/>
    <n v="28.997128560754039"/>
    <n v="5973.41"/>
    <n v="607.94000000000005"/>
  </r>
  <r>
    <x v="9"/>
    <x v="1"/>
    <x v="1"/>
    <n v="303"/>
    <n v="190.51177373965291"/>
    <n v="57725.07"/>
    <n v="10949.32"/>
  </r>
  <r>
    <x v="9"/>
    <x v="1"/>
    <x v="2"/>
    <n v="403"/>
    <n v="101.67898043210209"/>
    <n v="40976.629999999997"/>
    <n v="5037.45"/>
  </r>
  <r>
    <x v="9"/>
    <x v="1"/>
    <x v="3"/>
    <n v="88"/>
    <n v="65.710046622632262"/>
    <n v="5782.48"/>
    <n v="518.77"/>
  </r>
  <r>
    <x v="9"/>
    <x v="2"/>
    <x v="0"/>
    <n v="44"/>
    <n v="115.2035799457021"/>
    <n v="5068.96"/>
    <n v="674.92"/>
  </r>
  <r>
    <x v="9"/>
    <x v="2"/>
    <x v="1"/>
    <n v="200"/>
    <n v="103.9398578934905"/>
    <n v="20787.97"/>
    <n v="4261.25"/>
  </r>
  <r>
    <x v="9"/>
    <x v="2"/>
    <x v="2"/>
    <n v="442"/>
    <n v="199.22693598576251"/>
    <n v="88058.31"/>
    <n v="18164.080000000002"/>
  </r>
  <r>
    <x v="9"/>
    <x v="2"/>
    <x v="3"/>
    <n v="258"/>
    <n v="37.168419590038809"/>
    <n v="9589.4500000000007"/>
    <n v="1228.33"/>
  </r>
  <r>
    <x v="9"/>
    <x v="3"/>
    <x v="0"/>
    <n v="93"/>
    <n v="169.023136105101"/>
    <n v="15719.15"/>
    <n v="1825.17"/>
  </r>
  <r>
    <x v="9"/>
    <x v="3"/>
    <x v="1"/>
    <n v="193"/>
    <n v="143.18413497723279"/>
    <n v="27634.54"/>
    <n v="4869.33"/>
  </r>
  <r>
    <x v="9"/>
    <x v="3"/>
    <x v="2"/>
    <n v="189"/>
    <n v="85.36380437130785"/>
    <n v="16133.76"/>
    <n v="1829.03"/>
  </r>
  <r>
    <x v="9"/>
    <x v="3"/>
    <x v="3"/>
    <n v="155"/>
    <n v="81.111451193662859"/>
    <n v="12572.27"/>
    <n v="1214.23"/>
  </r>
  <r>
    <x v="10"/>
    <x v="0"/>
    <x v="0"/>
    <n v="340"/>
    <n v="177.26839404129919"/>
    <n v="60271.25"/>
    <n v="8184.69"/>
  </r>
  <r>
    <x v="10"/>
    <x v="0"/>
    <x v="1"/>
    <n v="320"/>
    <n v="153.14185519919889"/>
    <n v="49005.39"/>
    <n v="9127.52"/>
  </r>
  <r>
    <x v="10"/>
    <x v="0"/>
    <x v="2"/>
    <n v="89"/>
    <n v="144.55442716080799"/>
    <n v="12865.34"/>
    <n v="1456.46"/>
  </r>
  <r>
    <x v="10"/>
    <x v="0"/>
    <x v="3"/>
    <n v="186"/>
    <n v="90.602181756925489"/>
    <n v="16852.009999999998"/>
    <n v="1735.24"/>
  </r>
  <r>
    <x v="10"/>
    <x v="1"/>
    <x v="0"/>
    <n v="365"/>
    <n v="72.747980513628718"/>
    <n v="26553.01"/>
    <n v="2078.3200000000002"/>
  </r>
  <r>
    <x v="10"/>
    <x v="1"/>
    <x v="1"/>
    <n v="261"/>
    <n v="99.045521978883997"/>
    <n v="25850.880000000001"/>
    <n v="4176.38"/>
  </r>
  <r>
    <x v="10"/>
    <x v="1"/>
    <x v="2"/>
    <n v="77"/>
    <n v="150.78503357302699"/>
    <n v="11610.45"/>
    <n v="1775.83"/>
  </r>
  <r>
    <x v="10"/>
    <x v="1"/>
    <x v="3"/>
    <n v="442"/>
    <n v="151.7485270604304"/>
    <n v="67072.850000000006"/>
    <n v="6755.61"/>
  </r>
  <r>
    <x v="10"/>
    <x v="2"/>
    <x v="0"/>
    <n v="480"/>
    <n v="55.126229545569288"/>
    <n v="26460.59"/>
    <n v="3413.81"/>
  </r>
  <r>
    <x v="10"/>
    <x v="2"/>
    <x v="1"/>
    <n v="428"/>
    <n v="175.03383435599741"/>
    <n v="74914.48"/>
    <n v="11298.31"/>
  </r>
  <r>
    <x v="10"/>
    <x v="2"/>
    <x v="2"/>
    <n v="441"/>
    <n v="92.903808005245637"/>
    <n v="40970.58"/>
    <n v="5410.78"/>
  </r>
  <r>
    <x v="10"/>
    <x v="2"/>
    <x v="3"/>
    <n v="99"/>
    <n v="110.26321072639701"/>
    <n v="10916.06"/>
    <n v="1440.72"/>
  </r>
  <r>
    <x v="10"/>
    <x v="3"/>
    <x v="0"/>
    <n v="222"/>
    <n v="184.6319859029453"/>
    <n v="40988.300000000003"/>
    <n v="5405.19"/>
  </r>
  <r>
    <x v="10"/>
    <x v="3"/>
    <x v="1"/>
    <n v="460"/>
    <n v="109.3885903923283"/>
    <n v="50318.75"/>
    <n v="7732.66"/>
  </r>
  <r>
    <x v="10"/>
    <x v="3"/>
    <x v="2"/>
    <n v="252"/>
    <n v="51.19373025143333"/>
    <n v="12900.82"/>
    <n v="1639.12"/>
  </r>
  <r>
    <x v="10"/>
    <x v="3"/>
    <x v="3"/>
    <n v="490"/>
    <n v="18.634812264876999"/>
    <n v="9131.06"/>
    <n v="1146.0999999999999"/>
  </r>
  <r>
    <x v="11"/>
    <x v="0"/>
    <x v="0"/>
    <n v="31"/>
    <n v="192.15345740749081"/>
    <n v="5956.76"/>
    <n v="757.31"/>
  </r>
  <r>
    <x v="11"/>
    <x v="0"/>
    <x v="1"/>
    <n v="427"/>
    <n v="127.825193582292"/>
    <n v="54581.36"/>
    <n v="9714.82"/>
  </r>
  <r>
    <x v="11"/>
    <x v="0"/>
    <x v="2"/>
    <n v="27"/>
    <n v="42.239181740157449"/>
    <n v="1140.46"/>
    <n v="154.88999999999999"/>
  </r>
  <r>
    <x v="11"/>
    <x v="0"/>
    <x v="3"/>
    <n v="335"/>
    <n v="120.8946612516657"/>
    <n v="40499.71"/>
    <n v="5742.17"/>
  </r>
  <r>
    <x v="11"/>
    <x v="1"/>
    <x v="0"/>
    <n v="239"/>
    <n v="78.465568089000968"/>
    <n v="18753.27"/>
    <n v="1941.57"/>
  </r>
  <r>
    <x v="11"/>
    <x v="1"/>
    <x v="1"/>
    <n v="466"/>
    <n v="111.8583096053829"/>
    <n v="52125.97"/>
    <n v="7130.71"/>
  </r>
  <r>
    <x v="11"/>
    <x v="1"/>
    <x v="2"/>
    <n v="436"/>
    <n v="88.129276965715391"/>
    <n v="38424.36"/>
    <n v="4215.4799999999996"/>
  </r>
  <r>
    <x v="11"/>
    <x v="1"/>
    <x v="3"/>
    <n v="416"/>
    <n v="183.0761650538301"/>
    <n v="76159.679999999993"/>
    <n v="7889.62"/>
  </r>
  <r>
    <x v="11"/>
    <x v="2"/>
    <x v="0"/>
    <n v="272"/>
    <n v="188.70104715572279"/>
    <n v="51326.68"/>
    <n v="8915.1200000000008"/>
  </r>
  <r>
    <x v="11"/>
    <x v="2"/>
    <x v="1"/>
    <n v="428"/>
    <n v="89.466176895217586"/>
    <n v="38291.519999999997"/>
    <n v="6333.18"/>
  </r>
  <r>
    <x v="11"/>
    <x v="2"/>
    <x v="2"/>
    <n v="331"/>
    <n v="176.56568232590061"/>
    <n v="58443.24"/>
    <n v="8495.6200000000008"/>
  </r>
  <r>
    <x v="11"/>
    <x v="2"/>
    <x v="3"/>
    <n v="308"/>
    <n v="157.74443390969279"/>
    <n v="48585.29"/>
    <n v="6014.46"/>
  </r>
  <r>
    <x v="11"/>
    <x v="3"/>
    <x v="0"/>
    <n v="165"/>
    <n v="197.58246456983949"/>
    <n v="32601.11"/>
    <n v="3941.79"/>
  </r>
  <r>
    <x v="11"/>
    <x v="3"/>
    <x v="1"/>
    <n v="82"/>
    <n v="84.66799530598324"/>
    <n v="6942.78"/>
    <n v="1062.6099999999999"/>
  </r>
  <r>
    <x v="11"/>
    <x v="3"/>
    <x v="2"/>
    <n v="334"/>
    <n v="170.00259539578471"/>
    <n v="56780.87"/>
    <n v="8103.15"/>
  </r>
  <r>
    <x v="11"/>
    <x v="3"/>
    <x v="3"/>
    <n v="118"/>
    <n v="35.431902572120308"/>
    <n v="4180.96"/>
    <n v="500.7"/>
  </r>
  <r>
    <x v="12"/>
    <x v="0"/>
    <x v="0"/>
    <n v="424"/>
    <n v="20.711344363676151"/>
    <n v="8781.61"/>
    <n v="1187.17"/>
  </r>
  <r>
    <x v="12"/>
    <x v="0"/>
    <x v="1"/>
    <n v="370"/>
    <n v="152.48304239929459"/>
    <n v="56418.73"/>
    <n v="11060.72"/>
  </r>
  <r>
    <x v="12"/>
    <x v="0"/>
    <x v="2"/>
    <n v="278"/>
    <n v="115.5320240644992"/>
    <n v="32117.9"/>
    <n v="4849.76"/>
  </r>
  <r>
    <x v="12"/>
    <x v="0"/>
    <x v="3"/>
    <n v="97"/>
    <n v="48.958612416239731"/>
    <n v="4748.99"/>
    <n v="581.54999999999995"/>
  </r>
  <r>
    <x v="12"/>
    <x v="1"/>
    <x v="0"/>
    <n v="20"/>
    <n v="191.26969517915731"/>
    <n v="3825.39"/>
    <n v="316.08999999999997"/>
  </r>
  <r>
    <x v="12"/>
    <x v="1"/>
    <x v="1"/>
    <n v="388"/>
    <n v="153.82983511272349"/>
    <n v="59685.98"/>
    <n v="10785.84"/>
  </r>
  <r>
    <x v="12"/>
    <x v="1"/>
    <x v="2"/>
    <n v="53"/>
    <n v="78.050916426239695"/>
    <n v="4136.7"/>
    <n v="606.63"/>
  </r>
  <r>
    <x v="12"/>
    <x v="1"/>
    <x v="3"/>
    <n v="181"/>
    <n v="100.48003238991269"/>
    <n v="18186.89"/>
    <n v="1364.57"/>
  </r>
  <r>
    <x v="12"/>
    <x v="2"/>
    <x v="0"/>
    <n v="278"/>
    <n v="108.8310652112787"/>
    <n v="30255.040000000001"/>
    <n v="4338.5600000000004"/>
  </r>
  <r>
    <x v="12"/>
    <x v="2"/>
    <x v="1"/>
    <n v="408"/>
    <n v="26.797562439472848"/>
    <n v="10933.41"/>
    <n v="2438.86"/>
  </r>
  <r>
    <x v="12"/>
    <x v="2"/>
    <x v="2"/>
    <n v="270"/>
    <n v="86.661744580355432"/>
    <n v="23398.67"/>
    <n v="4279.79"/>
  </r>
  <r>
    <x v="12"/>
    <x v="2"/>
    <x v="3"/>
    <n v="85"/>
    <n v="162.95848682867879"/>
    <n v="13851.47"/>
    <n v="2041.33"/>
  </r>
  <r>
    <x v="12"/>
    <x v="3"/>
    <x v="0"/>
    <n v="122"/>
    <n v="35.910580361486247"/>
    <n v="4381.09"/>
    <n v="352.16"/>
  </r>
  <r>
    <x v="12"/>
    <x v="3"/>
    <x v="1"/>
    <n v="366"/>
    <n v="27.290397299752751"/>
    <n v="9988.2900000000009"/>
    <n v="2036.48"/>
  </r>
  <r>
    <x v="12"/>
    <x v="3"/>
    <x v="2"/>
    <n v="327"/>
    <n v="114.0147983108312"/>
    <n v="37282.839999999997"/>
    <n v="6051.8"/>
  </r>
  <r>
    <x v="12"/>
    <x v="3"/>
    <x v="3"/>
    <n v="49"/>
    <n v="128.19647304329601"/>
    <n v="6281.63"/>
    <n v="583.74"/>
  </r>
  <r>
    <x v="13"/>
    <x v="0"/>
    <x v="0"/>
    <n v="70"/>
    <n v="142.551955583758"/>
    <n v="9978.64"/>
    <n v="1258.3699999999999"/>
  </r>
  <r>
    <x v="13"/>
    <x v="0"/>
    <x v="1"/>
    <n v="420"/>
    <n v="103.50209568511229"/>
    <n v="43470.879999999997"/>
    <n v="9493.76"/>
  </r>
  <r>
    <x v="13"/>
    <x v="0"/>
    <x v="2"/>
    <n v="359"/>
    <n v="97.235793685269641"/>
    <n v="34907.65"/>
    <n v="5580.9"/>
  </r>
  <r>
    <x v="13"/>
    <x v="0"/>
    <x v="3"/>
    <n v="224"/>
    <n v="49.734850304917693"/>
    <n v="11140.61"/>
    <n v="1315.29"/>
  </r>
  <r>
    <x v="13"/>
    <x v="1"/>
    <x v="0"/>
    <n v="62"/>
    <n v="55.627667567856683"/>
    <n v="3448.92"/>
    <n v="404.67"/>
  </r>
  <r>
    <x v="13"/>
    <x v="1"/>
    <x v="1"/>
    <n v="379"/>
    <n v="142.335278583145"/>
    <n v="53945.07"/>
    <n v="8156.62"/>
  </r>
  <r>
    <x v="13"/>
    <x v="1"/>
    <x v="2"/>
    <n v="300"/>
    <n v="180.38979788214229"/>
    <n v="54116.94"/>
    <n v="9800.68"/>
  </r>
  <r>
    <x v="13"/>
    <x v="1"/>
    <x v="3"/>
    <n v="453"/>
    <n v="124.3677251527824"/>
    <n v="56338.58"/>
    <n v="4710.63"/>
  </r>
  <r>
    <x v="13"/>
    <x v="2"/>
    <x v="0"/>
    <n v="70"/>
    <n v="17.76503709063098"/>
    <n v="1243.55"/>
    <n v="160.91"/>
  </r>
  <r>
    <x v="13"/>
    <x v="2"/>
    <x v="1"/>
    <n v="336"/>
    <n v="16.042889482181369"/>
    <n v="5390.41"/>
    <n v="992.6"/>
  </r>
  <r>
    <x v="13"/>
    <x v="2"/>
    <x v="2"/>
    <n v="345"/>
    <n v="32.920815509114149"/>
    <n v="11357.68"/>
    <n v="1605.05"/>
  </r>
  <r>
    <x v="13"/>
    <x v="2"/>
    <x v="3"/>
    <n v="53"/>
    <n v="34.462195676932339"/>
    <n v="1826.5"/>
    <n v="212.18"/>
  </r>
  <r>
    <x v="13"/>
    <x v="3"/>
    <x v="0"/>
    <n v="237"/>
    <n v="141.17501743957939"/>
    <n v="33458.480000000003"/>
    <n v="3379.49"/>
  </r>
  <r>
    <x v="13"/>
    <x v="3"/>
    <x v="1"/>
    <n v="369"/>
    <n v="39.825759716076803"/>
    <n v="14695.71"/>
    <n v="2634.64"/>
  </r>
  <r>
    <x v="13"/>
    <x v="3"/>
    <x v="2"/>
    <n v="67"/>
    <n v="21.60481237242411"/>
    <n v="1447.52"/>
    <n v="234.54"/>
  </r>
  <r>
    <x v="13"/>
    <x v="3"/>
    <x v="3"/>
    <n v="132"/>
    <n v="123.4828356285318"/>
    <n v="16299.73"/>
    <n v="1346.24"/>
  </r>
  <r>
    <x v="14"/>
    <x v="0"/>
    <x v="0"/>
    <n v="199"/>
    <n v="49.776371433974958"/>
    <n v="9905.5"/>
    <n v="1233.22"/>
  </r>
  <r>
    <x v="14"/>
    <x v="0"/>
    <x v="1"/>
    <n v="493"/>
    <n v="154.39152769814129"/>
    <n v="76115.02"/>
    <n v="10957.64"/>
  </r>
  <r>
    <x v="14"/>
    <x v="0"/>
    <x v="2"/>
    <n v="97"/>
    <n v="97.881596065298098"/>
    <n v="9494.51"/>
    <n v="1680.79"/>
  </r>
  <r>
    <x v="14"/>
    <x v="0"/>
    <x v="3"/>
    <n v="130"/>
    <n v="170.4437278003895"/>
    <n v="22157.68"/>
    <n v="1999.54"/>
  </r>
  <r>
    <x v="14"/>
    <x v="1"/>
    <x v="0"/>
    <n v="382"/>
    <n v="111.10156220041"/>
    <n v="42440.800000000003"/>
    <n v="4559.91"/>
  </r>
  <r>
    <x v="14"/>
    <x v="1"/>
    <x v="1"/>
    <n v="246"/>
    <n v="85.46112817577567"/>
    <n v="21023.439999999999"/>
    <n v="3172.21"/>
  </r>
  <r>
    <x v="14"/>
    <x v="1"/>
    <x v="2"/>
    <n v="211"/>
    <n v="61.156213880382381"/>
    <n v="12903.96"/>
    <n v="1758.32"/>
  </r>
  <r>
    <x v="14"/>
    <x v="1"/>
    <x v="3"/>
    <n v="460"/>
    <n v="169.73489731680689"/>
    <n v="78078.05"/>
    <n v="6952.4"/>
  </r>
  <r>
    <x v="14"/>
    <x v="2"/>
    <x v="0"/>
    <n v="105"/>
    <n v="72.22449691380379"/>
    <n v="7583.57"/>
    <n v="1317.59"/>
  </r>
  <r>
    <x v="14"/>
    <x v="2"/>
    <x v="1"/>
    <n v="86"/>
    <n v="133.27633965539951"/>
    <n v="11461.77"/>
    <n v="2494.46"/>
  </r>
  <r>
    <x v="14"/>
    <x v="2"/>
    <x v="2"/>
    <n v="165"/>
    <n v="26.514854736610499"/>
    <n v="4374.95"/>
    <n v="951.49"/>
  </r>
  <r>
    <x v="14"/>
    <x v="2"/>
    <x v="3"/>
    <n v="283"/>
    <n v="121.4417325855442"/>
    <n v="34368.01"/>
    <n v="4821.51"/>
  </r>
  <r>
    <x v="14"/>
    <x v="3"/>
    <x v="0"/>
    <n v="255"/>
    <n v="34.240257531157113"/>
    <n v="8731.27"/>
    <n v="851.19"/>
  </r>
  <r>
    <x v="14"/>
    <x v="3"/>
    <x v="1"/>
    <n v="301"/>
    <n v="125.4354922357788"/>
    <n v="37756.080000000002"/>
    <n v="5563.13"/>
  </r>
  <r>
    <x v="14"/>
    <x v="3"/>
    <x v="2"/>
    <n v="462"/>
    <n v="77.65837792059078"/>
    <n v="35878.17"/>
    <n v="5222.2"/>
  </r>
  <r>
    <x v="14"/>
    <x v="3"/>
    <x v="3"/>
    <n v="308"/>
    <n v="11.431528995474199"/>
    <n v="3520.91"/>
    <n v="343.46"/>
  </r>
  <r>
    <x v="15"/>
    <x v="0"/>
    <x v="0"/>
    <n v="296"/>
    <n v="39.043236445023084"/>
    <n v="11556.8"/>
    <n v="1352"/>
  </r>
  <r>
    <x v="15"/>
    <x v="0"/>
    <x v="1"/>
    <n v="350"/>
    <n v="26.698648662627331"/>
    <n v="9344.5300000000007"/>
    <n v="1684.42"/>
  </r>
  <r>
    <x v="15"/>
    <x v="0"/>
    <x v="2"/>
    <n v="369"/>
    <n v="42.940983106003422"/>
    <n v="15845.22"/>
    <n v="1742.1"/>
  </r>
  <r>
    <x v="15"/>
    <x v="0"/>
    <x v="3"/>
    <n v="55"/>
    <n v="199.47855160599491"/>
    <n v="10971.32"/>
    <n v="1357.07"/>
  </r>
  <r>
    <x v="15"/>
    <x v="1"/>
    <x v="0"/>
    <n v="25"/>
    <n v="85.592563818690905"/>
    <n v="2139.81"/>
    <n v="210.7"/>
  </r>
  <r>
    <x v="15"/>
    <x v="1"/>
    <x v="1"/>
    <n v="454"/>
    <n v="165.96367989913699"/>
    <n v="75347.509999999995"/>
    <n v="13947.41"/>
  </r>
  <r>
    <x v="15"/>
    <x v="1"/>
    <x v="2"/>
    <n v="213"/>
    <n v="115.7849496726467"/>
    <n v="24662.19"/>
    <n v="2629.28"/>
  </r>
  <r>
    <x v="15"/>
    <x v="1"/>
    <x v="3"/>
    <n v="319"/>
    <n v="48.964736428397231"/>
    <n v="15619.75"/>
    <n v="1575.52"/>
  </r>
  <r>
    <x v="15"/>
    <x v="2"/>
    <x v="0"/>
    <n v="429"/>
    <n v="71.499054916806301"/>
    <n v="30673.09"/>
    <n v="4465.8500000000004"/>
  </r>
  <r>
    <x v="15"/>
    <x v="2"/>
    <x v="1"/>
    <n v="132"/>
    <n v="110.6696044044122"/>
    <n v="14608.39"/>
    <n v="2120.86"/>
  </r>
  <r>
    <x v="15"/>
    <x v="2"/>
    <x v="2"/>
    <n v="20"/>
    <n v="126.01780806391019"/>
    <n v="2520.36"/>
    <n v="460.65"/>
  </r>
  <r>
    <x v="15"/>
    <x v="2"/>
    <x v="3"/>
    <n v="158"/>
    <n v="187.08272502881749"/>
    <n v="29559.07"/>
    <n v="2564.83"/>
  </r>
  <r>
    <x v="15"/>
    <x v="3"/>
    <x v="0"/>
    <n v="352"/>
    <n v="111.19199218480129"/>
    <n v="39139.58"/>
    <n v="4384.7700000000004"/>
  </r>
  <r>
    <x v="15"/>
    <x v="3"/>
    <x v="1"/>
    <n v="29"/>
    <n v="114.2345924082491"/>
    <n v="3312.8"/>
    <n v="552.74"/>
  </r>
  <r>
    <x v="15"/>
    <x v="3"/>
    <x v="2"/>
    <n v="157"/>
    <n v="198.09244415408961"/>
    <n v="31100.51"/>
    <n v="5135.5"/>
  </r>
  <r>
    <x v="15"/>
    <x v="3"/>
    <x v="3"/>
    <n v="340"/>
    <n v="36.37670695398387"/>
    <n v="12368.08"/>
    <n v="1032.27"/>
  </r>
  <r>
    <x v="16"/>
    <x v="0"/>
    <x v="0"/>
    <n v="348"/>
    <n v="154.44329337904051"/>
    <n v="53746.27"/>
    <n v="6209.48"/>
  </r>
  <r>
    <x v="16"/>
    <x v="0"/>
    <x v="1"/>
    <n v="438"/>
    <n v="76.284970643169103"/>
    <n v="33412.82"/>
    <n v="7974.87"/>
  </r>
  <r>
    <x v="16"/>
    <x v="0"/>
    <x v="2"/>
    <n v="324"/>
    <n v="171.63821740312639"/>
    <n v="55610.78"/>
    <n v="8275.17"/>
  </r>
  <r>
    <x v="16"/>
    <x v="0"/>
    <x v="3"/>
    <n v="392"/>
    <n v="148.86482028869241"/>
    <n v="58355.01"/>
    <n v="8175.57"/>
  </r>
  <r>
    <x v="16"/>
    <x v="1"/>
    <x v="0"/>
    <n v="156"/>
    <n v="48.95034391011508"/>
    <n v="7636.25"/>
    <n v="942.02"/>
  </r>
  <r>
    <x v="16"/>
    <x v="1"/>
    <x v="1"/>
    <n v="339"/>
    <n v="119.1498915041833"/>
    <n v="40391.81"/>
    <n v="6713.76"/>
  </r>
  <r>
    <x v="16"/>
    <x v="1"/>
    <x v="2"/>
    <n v="339"/>
    <n v="158.48775153276881"/>
    <n v="53727.35"/>
    <n v="8093.4"/>
  </r>
  <r>
    <x v="16"/>
    <x v="1"/>
    <x v="3"/>
    <n v="335"/>
    <n v="41.094629144483861"/>
    <n v="13766.7"/>
    <n v="1430.73"/>
  </r>
  <r>
    <x v="16"/>
    <x v="2"/>
    <x v="0"/>
    <n v="232"/>
    <n v="45.416947489747379"/>
    <n v="10536.73"/>
    <n v="1612.84"/>
  </r>
  <r>
    <x v="16"/>
    <x v="2"/>
    <x v="1"/>
    <n v="81"/>
    <n v="78.177791983465468"/>
    <n v="6332.4"/>
    <n v="1102.96"/>
  </r>
  <r>
    <x v="16"/>
    <x v="2"/>
    <x v="2"/>
    <n v="256"/>
    <n v="121.7782684010608"/>
    <n v="31175.24"/>
    <n v="4987.55"/>
  </r>
  <r>
    <x v="16"/>
    <x v="2"/>
    <x v="3"/>
    <n v="123"/>
    <n v="81.619441590732436"/>
    <n v="10039.19"/>
    <n v="1587.6"/>
  </r>
  <r>
    <x v="16"/>
    <x v="3"/>
    <x v="0"/>
    <n v="198"/>
    <n v="128.57929339454921"/>
    <n v="25458.7"/>
    <n v="1743.23"/>
  </r>
  <r>
    <x v="16"/>
    <x v="3"/>
    <x v="1"/>
    <n v="172"/>
    <n v="77.518865845495213"/>
    <n v="13333.24"/>
    <n v="2736.2"/>
  </r>
  <r>
    <x v="16"/>
    <x v="3"/>
    <x v="2"/>
    <n v="469"/>
    <n v="113.27504361165779"/>
    <n v="53126"/>
    <n v="7953.62"/>
  </r>
  <r>
    <x v="16"/>
    <x v="3"/>
    <x v="3"/>
    <n v="454"/>
    <n v="91.990347195924102"/>
    <n v="41763.620000000003"/>
    <n v="4611.43"/>
  </r>
  <r>
    <x v="17"/>
    <x v="0"/>
    <x v="0"/>
    <n v="86"/>
    <n v="129.26453008356941"/>
    <n v="11116.75"/>
    <n v="1250.68"/>
  </r>
  <r>
    <x v="17"/>
    <x v="0"/>
    <x v="1"/>
    <n v="34"/>
    <n v="176.9395319209533"/>
    <n v="6015.94"/>
    <n v="1094.8599999999999"/>
  </r>
  <r>
    <x v="17"/>
    <x v="0"/>
    <x v="2"/>
    <n v="308"/>
    <n v="111.3576074755011"/>
    <n v="34298.14"/>
    <n v="5612.46"/>
  </r>
  <r>
    <x v="17"/>
    <x v="0"/>
    <x v="3"/>
    <n v="57"/>
    <n v="152.9565928073763"/>
    <n v="8718.5300000000007"/>
    <n v="1002.32"/>
  </r>
  <r>
    <x v="17"/>
    <x v="1"/>
    <x v="0"/>
    <n v="430"/>
    <n v="151.3497955888086"/>
    <n v="65080.41"/>
    <n v="7252"/>
  </r>
  <r>
    <x v="17"/>
    <x v="1"/>
    <x v="1"/>
    <n v="29"/>
    <n v="103.8564825548639"/>
    <n v="3011.84"/>
    <n v="483.24"/>
  </r>
  <r>
    <x v="17"/>
    <x v="1"/>
    <x v="2"/>
    <n v="349"/>
    <n v="74.995532256022415"/>
    <n v="26173.439999999999"/>
    <n v="4337.97"/>
  </r>
  <r>
    <x v="17"/>
    <x v="1"/>
    <x v="3"/>
    <n v="280"/>
    <n v="102.4079215791655"/>
    <n v="28674.22"/>
    <n v="2325.69"/>
  </r>
  <r>
    <x v="17"/>
    <x v="2"/>
    <x v="0"/>
    <n v="343"/>
    <n v="147.22798799468259"/>
    <n v="50499.199999999997"/>
    <n v="7948.18"/>
  </r>
  <r>
    <x v="17"/>
    <x v="2"/>
    <x v="1"/>
    <n v="262"/>
    <n v="117.446585991365"/>
    <n v="30771.01"/>
    <n v="6988.49"/>
  </r>
  <r>
    <x v="17"/>
    <x v="2"/>
    <x v="2"/>
    <n v="301"/>
    <n v="57.841821192321021"/>
    <n v="17410.39"/>
    <n v="2591.23"/>
  </r>
  <r>
    <x v="17"/>
    <x v="2"/>
    <x v="3"/>
    <n v="349"/>
    <n v="75.079608863923241"/>
    <n v="26202.78"/>
    <n v="2875.54"/>
  </r>
  <r>
    <x v="17"/>
    <x v="3"/>
    <x v="0"/>
    <n v="153"/>
    <n v="86.161769185091572"/>
    <n v="13182.75"/>
    <n v="1688.54"/>
  </r>
  <r>
    <x v="17"/>
    <x v="3"/>
    <x v="1"/>
    <n v="415"/>
    <n v="183.25195768016329"/>
    <n v="76049.56"/>
    <n v="13224.13"/>
  </r>
  <r>
    <x v="17"/>
    <x v="3"/>
    <x v="2"/>
    <n v="123"/>
    <n v="106.1188489880485"/>
    <n v="13052.62"/>
    <n v="1839.68"/>
  </r>
  <r>
    <x v="17"/>
    <x v="3"/>
    <x v="3"/>
    <n v="335"/>
    <n v="122.6629519991761"/>
    <n v="41092.089999999997"/>
    <n v="3942.31"/>
  </r>
  <r>
    <x v="18"/>
    <x v="0"/>
    <x v="0"/>
    <n v="375"/>
    <n v="184.5625992295418"/>
    <n v="69210.97"/>
    <n v="10665.37"/>
  </r>
  <r>
    <x v="18"/>
    <x v="0"/>
    <x v="1"/>
    <n v="306"/>
    <n v="125.2758588127426"/>
    <n v="38334.410000000003"/>
    <n v="7799.08"/>
  </r>
  <r>
    <x v="18"/>
    <x v="0"/>
    <x v="2"/>
    <n v="70"/>
    <n v="149.92440476869729"/>
    <n v="10494.71"/>
    <n v="1471.44"/>
  </r>
  <r>
    <x v="18"/>
    <x v="0"/>
    <x v="3"/>
    <n v="424"/>
    <n v="41.448896969785046"/>
    <n v="17574.330000000002"/>
    <n v="1888.96"/>
  </r>
  <r>
    <x v="18"/>
    <x v="1"/>
    <x v="0"/>
    <n v="439"/>
    <n v="33.685909428620697"/>
    <n v="14788.11"/>
    <n v="2377.54"/>
  </r>
  <r>
    <x v="18"/>
    <x v="1"/>
    <x v="1"/>
    <n v="168"/>
    <n v="82.068082693254283"/>
    <n v="13787.44"/>
    <n v="2488.34"/>
  </r>
  <r>
    <x v="18"/>
    <x v="1"/>
    <x v="2"/>
    <n v="328"/>
    <n v="73.687475912721169"/>
    <n v="24169.49"/>
    <n v="2894.49"/>
  </r>
  <r>
    <x v="18"/>
    <x v="1"/>
    <x v="3"/>
    <n v="44"/>
    <n v="174.06844671646181"/>
    <n v="7659.01"/>
    <n v="435.82"/>
  </r>
  <r>
    <x v="18"/>
    <x v="2"/>
    <x v="0"/>
    <n v="313"/>
    <n v="75.805738929532637"/>
    <n v="23727.200000000001"/>
    <n v="3924.54"/>
  </r>
  <r>
    <x v="18"/>
    <x v="2"/>
    <x v="1"/>
    <n v="36"/>
    <n v="121.54296258594781"/>
    <n v="4375.55"/>
    <n v="803.48"/>
  </r>
  <r>
    <x v="18"/>
    <x v="2"/>
    <x v="2"/>
    <n v="462"/>
    <n v="95.963508065211741"/>
    <n v="44335.14"/>
    <n v="7319.07"/>
  </r>
  <r>
    <x v="18"/>
    <x v="2"/>
    <x v="3"/>
    <n v="474"/>
    <n v="41.44753031131502"/>
    <n v="19646.13"/>
    <n v="2250.38"/>
  </r>
  <r>
    <x v="18"/>
    <x v="3"/>
    <x v="0"/>
    <n v="363"/>
    <n v="69.179902515223915"/>
    <n v="25112.3"/>
    <n v="2527.15"/>
  </r>
  <r>
    <x v="18"/>
    <x v="3"/>
    <x v="1"/>
    <n v="173"/>
    <n v="12.48794675178339"/>
    <n v="2160.41"/>
    <n v="417.21"/>
  </r>
  <r>
    <x v="18"/>
    <x v="3"/>
    <x v="2"/>
    <n v="488"/>
    <n v="107.88299965729441"/>
    <n v="52646.9"/>
    <n v="7594.8"/>
  </r>
  <r>
    <x v="18"/>
    <x v="3"/>
    <x v="3"/>
    <n v="167"/>
    <n v="88.778583508134503"/>
    <n v="14826.02"/>
    <n v="1535.81"/>
  </r>
  <r>
    <x v="19"/>
    <x v="0"/>
    <x v="0"/>
    <n v="495"/>
    <n v="111.6632465973951"/>
    <n v="55273.31"/>
    <n v="6546.22"/>
  </r>
  <r>
    <x v="19"/>
    <x v="0"/>
    <x v="1"/>
    <n v="243"/>
    <n v="22.744530703801221"/>
    <n v="5526.92"/>
    <n v="949.46"/>
  </r>
  <r>
    <x v="19"/>
    <x v="0"/>
    <x v="2"/>
    <n v="234"/>
    <n v="91.089892013982393"/>
    <n v="21315.03"/>
    <n v="3168.62"/>
  </r>
  <r>
    <x v="19"/>
    <x v="0"/>
    <x v="3"/>
    <n v="177"/>
    <n v="46.230666926096653"/>
    <n v="8182.83"/>
    <n v="1084.8599999999999"/>
  </r>
  <r>
    <x v="19"/>
    <x v="1"/>
    <x v="0"/>
    <n v="448"/>
    <n v="81.767930013632167"/>
    <n v="36632.03"/>
    <n v="4251.59"/>
  </r>
  <r>
    <x v="19"/>
    <x v="1"/>
    <x v="1"/>
    <n v="276"/>
    <n v="157.35024717205201"/>
    <n v="43428.67"/>
    <n v="8396.07"/>
  </r>
  <r>
    <x v="19"/>
    <x v="1"/>
    <x v="2"/>
    <n v="194"/>
    <n v="110.2530687275093"/>
    <n v="21389.1"/>
    <n v="2337.9699999999998"/>
  </r>
  <r>
    <x v="19"/>
    <x v="1"/>
    <x v="3"/>
    <n v="241"/>
    <n v="116.3316629485614"/>
    <n v="28035.93"/>
    <n v="4091.02"/>
  </r>
  <r>
    <x v="19"/>
    <x v="2"/>
    <x v="0"/>
    <n v="338"/>
    <n v="29.566481072949951"/>
    <n v="9993.4699999999993"/>
    <n v="1285.6199999999999"/>
  </r>
  <r>
    <x v="19"/>
    <x v="2"/>
    <x v="1"/>
    <n v="150"/>
    <n v="80.928770093153062"/>
    <n v="12139.32"/>
    <n v="2374.08"/>
  </r>
  <r>
    <x v="19"/>
    <x v="2"/>
    <x v="2"/>
    <n v="477"/>
    <n v="180.51177786558799"/>
    <n v="86104.12"/>
    <n v="17074.38"/>
  </r>
  <r>
    <x v="19"/>
    <x v="2"/>
    <x v="3"/>
    <n v="74"/>
    <n v="39.668993499576167"/>
    <n v="2935.51"/>
    <n v="359.6"/>
  </r>
  <r>
    <x v="19"/>
    <x v="3"/>
    <x v="0"/>
    <n v="197"/>
    <n v="174.7288144021895"/>
    <n v="34421.58"/>
    <n v="4799.8900000000003"/>
  </r>
  <r>
    <x v="19"/>
    <x v="3"/>
    <x v="1"/>
    <n v="342"/>
    <n v="53.904211351733572"/>
    <n v="18435.240000000002"/>
    <n v="2424.48"/>
  </r>
  <r>
    <x v="19"/>
    <x v="3"/>
    <x v="2"/>
    <n v="462"/>
    <n v="106.0464970301464"/>
    <n v="48993.48"/>
    <n v="5429.94"/>
  </r>
  <r>
    <x v="19"/>
    <x v="3"/>
    <x v="3"/>
    <n v="248"/>
    <n v="43.923485790323383"/>
    <n v="10893.02"/>
    <n v="1254.95"/>
  </r>
  <r>
    <x v="20"/>
    <x v="0"/>
    <x v="0"/>
    <n v="116"/>
    <n v="115.7771011088396"/>
    <n v="13430.14"/>
    <n v="1977.44"/>
  </r>
  <r>
    <x v="20"/>
    <x v="0"/>
    <x v="1"/>
    <n v="107"/>
    <n v="147.23071705257519"/>
    <n v="15753.69"/>
    <n v="3189.62"/>
  </r>
  <r>
    <x v="20"/>
    <x v="0"/>
    <x v="2"/>
    <n v="139"/>
    <n v="163.30152830289131"/>
    <n v="22698.91"/>
    <n v="3506.61"/>
  </r>
  <r>
    <x v="20"/>
    <x v="0"/>
    <x v="3"/>
    <n v="330"/>
    <n v="180.3038055190128"/>
    <n v="59500.26"/>
    <n v="5286.56"/>
  </r>
  <r>
    <x v="20"/>
    <x v="1"/>
    <x v="0"/>
    <n v="26"/>
    <n v="130.3157472330825"/>
    <n v="3388.21"/>
    <n v="419.38"/>
  </r>
  <r>
    <x v="20"/>
    <x v="1"/>
    <x v="1"/>
    <n v="131"/>
    <n v="44.472732667061493"/>
    <n v="5825.93"/>
    <n v="1044.8"/>
  </r>
  <r>
    <x v="20"/>
    <x v="1"/>
    <x v="2"/>
    <n v="55"/>
    <n v="132.1558570867081"/>
    <n v="7268.57"/>
    <n v="1094.27"/>
  </r>
  <r>
    <x v="20"/>
    <x v="1"/>
    <x v="3"/>
    <n v="216"/>
    <n v="74.945296822596433"/>
    <n v="16188.18"/>
    <n v="1541.74"/>
  </r>
  <r>
    <x v="20"/>
    <x v="2"/>
    <x v="0"/>
    <n v="253"/>
    <n v="166.77039297030541"/>
    <n v="42192.91"/>
    <n v="5629.1"/>
  </r>
  <r>
    <x v="20"/>
    <x v="2"/>
    <x v="1"/>
    <n v="39"/>
    <n v="128.58829249133549"/>
    <n v="5014.9399999999996"/>
    <n v="993.28"/>
  </r>
  <r>
    <x v="20"/>
    <x v="2"/>
    <x v="2"/>
    <n v="441"/>
    <n v="157.02855940825469"/>
    <n v="69249.59"/>
    <n v="13087.78"/>
  </r>
  <r>
    <x v="20"/>
    <x v="2"/>
    <x v="3"/>
    <n v="374"/>
    <n v="190.2061283228098"/>
    <n v="71137.09"/>
    <n v="8022.86"/>
  </r>
  <r>
    <x v="20"/>
    <x v="3"/>
    <x v="0"/>
    <n v="361"/>
    <n v="158.15416720972581"/>
    <n v="57093.65"/>
    <n v="6755.79"/>
  </r>
  <r>
    <x v="20"/>
    <x v="3"/>
    <x v="1"/>
    <n v="78"/>
    <n v="179.96492310987739"/>
    <n v="14037.26"/>
    <n v="2182.52"/>
  </r>
  <r>
    <x v="20"/>
    <x v="3"/>
    <x v="2"/>
    <n v="147"/>
    <n v="44.600356376100819"/>
    <n v="6556.25"/>
    <n v="1249.42"/>
  </r>
  <r>
    <x v="20"/>
    <x v="3"/>
    <x v="3"/>
    <n v="28"/>
    <n v="112.91050078556469"/>
    <n v="3161.49"/>
    <n v="124.31"/>
  </r>
  <r>
    <x v="21"/>
    <x v="0"/>
    <x v="0"/>
    <n v="256"/>
    <n v="86.484508283426308"/>
    <n v="22140.03"/>
    <n v="3151.58"/>
  </r>
  <r>
    <x v="21"/>
    <x v="0"/>
    <x v="1"/>
    <n v="23"/>
    <n v="35.132480113812782"/>
    <n v="808.05"/>
    <n v="134.13"/>
  </r>
  <r>
    <x v="21"/>
    <x v="0"/>
    <x v="2"/>
    <n v="48"/>
    <n v="42.619064311177667"/>
    <n v="2045.72"/>
    <n v="260.64"/>
  </r>
  <r>
    <x v="21"/>
    <x v="0"/>
    <x v="3"/>
    <n v="36"/>
    <n v="86.997136725260859"/>
    <n v="3131.9"/>
    <n v="379.08"/>
  </r>
  <r>
    <x v="21"/>
    <x v="1"/>
    <x v="0"/>
    <n v="397"/>
    <n v="146.83849051013621"/>
    <n v="58294.879999999997"/>
    <n v="5364.53"/>
  </r>
  <r>
    <x v="21"/>
    <x v="1"/>
    <x v="1"/>
    <n v="238"/>
    <n v="123.5084894123586"/>
    <n v="29395.02"/>
    <n v="4462.38"/>
  </r>
  <r>
    <x v="21"/>
    <x v="1"/>
    <x v="2"/>
    <n v="287"/>
    <n v="130.28863203791499"/>
    <n v="37392.839999999997"/>
    <n v="7299.65"/>
  </r>
  <r>
    <x v="21"/>
    <x v="1"/>
    <x v="3"/>
    <n v="420"/>
    <n v="89.566399729493895"/>
    <n v="37617.89"/>
    <n v="3223.34"/>
  </r>
  <r>
    <x v="21"/>
    <x v="2"/>
    <x v="0"/>
    <n v="495"/>
    <n v="156.47316164221141"/>
    <n v="77454.22"/>
    <n v="7970.37"/>
  </r>
  <r>
    <x v="21"/>
    <x v="2"/>
    <x v="1"/>
    <n v="329"/>
    <n v="150.22638712101039"/>
    <n v="49424.480000000003"/>
    <n v="8906.7000000000007"/>
  </r>
  <r>
    <x v="21"/>
    <x v="2"/>
    <x v="2"/>
    <n v="326"/>
    <n v="27.1640225097455"/>
    <n v="8855.4699999999993"/>
    <n v="1465.58"/>
  </r>
  <r>
    <x v="21"/>
    <x v="2"/>
    <x v="3"/>
    <n v="183"/>
    <n v="146.6187219850066"/>
    <n v="26831.23"/>
    <n v="3867.77"/>
  </r>
  <r>
    <x v="21"/>
    <x v="3"/>
    <x v="0"/>
    <n v="314"/>
    <n v="125.9768867315119"/>
    <n v="39556.74"/>
    <n v="4448"/>
  </r>
  <r>
    <x v="21"/>
    <x v="3"/>
    <x v="1"/>
    <n v="171"/>
    <n v="187.99765047170399"/>
    <n v="32147.599999999999"/>
    <n v="5982.76"/>
  </r>
  <r>
    <x v="21"/>
    <x v="3"/>
    <x v="2"/>
    <n v="88"/>
    <n v="101.9134389671584"/>
    <n v="8968.3799999999992"/>
    <n v="1353.82"/>
  </r>
  <r>
    <x v="21"/>
    <x v="3"/>
    <x v="3"/>
    <n v="486"/>
    <n v="123.06480683304839"/>
    <n v="59809.5"/>
    <n v="3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C3AD2-09B7-461F-9870-2B2DE907B9E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7:F61" firstHeaderRow="1" firstDataRow="2" firstDataCol="1"/>
  <pivotFields count="7">
    <pivotField axis="axisRow" showAll="0">
      <items count="23">
        <item x="3"/>
        <item x="15"/>
        <item x="7"/>
        <item x="19"/>
        <item x="11"/>
        <item x="1"/>
        <item x="13"/>
        <item x="0"/>
        <item x="12"/>
        <item x="6"/>
        <item x="18"/>
        <item x="5"/>
        <item x="17"/>
        <item x="2"/>
        <item x="14"/>
        <item x="4"/>
        <item x="16"/>
        <item x="10"/>
        <item x="9"/>
        <item x="21"/>
        <item x="8"/>
        <item x="20"/>
        <item t="default"/>
      </items>
    </pivotField>
    <pivotField axis="axisCol" showAll="0">
      <items count="5">
        <item x="2"/>
        <item x="0"/>
        <item x="1"/>
        <item x="3"/>
        <item t="default"/>
      </items>
    </pivotField>
    <pivotField showAll="0">
      <items count="5">
        <item x="0"/>
        <item h="1" x="1"/>
        <item h="1" x="2"/>
        <item h="1" x="3"/>
        <item t="default"/>
      </items>
    </pivotField>
    <pivotField showAll="0"/>
    <pivotField showAll="0"/>
    <pivotField dataField="1"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1"/>
  </colFields>
  <colItems count="5">
    <i>
      <x/>
    </i>
    <i>
      <x v="1"/>
    </i>
    <i>
      <x v="2"/>
    </i>
    <i>
      <x v="3"/>
    </i>
    <i t="grand">
      <x/>
    </i>
  </colItems>
  <dataFields count="1">
    <dataField name="Sum of Revenue" fld="5" baseField="0" baseItem="0" numFmtId="1"/>
  </dataFields>
  <formats count="1">
    <format dxfId="0">
      <pivotArea outline="0" collapsedLevelsAreSubtotals="1" fieldPosition="0"/>
    </format>
  </formats>
  <chartFormats count="4">
    <chartFormat chart="13" format="8" series="1">
      <pivotArea type="data" outline="0" fieldPosition="0">
        <references count="2">
          <reference field="4294967294" count="1" selected="0">
            <x v="0"/>
          </reference>
          <reference field="1" count="1" selected="0">
            <x v="0"/>
          </reference>
        </references>
      </pivotArea>
    </chartFormat>
    <chartFormat chart="13" format="9" series="1">
      <pivotArea type="data" outline="0" fieldPosition="0">
        <references count="2">
          <reference field="4294967294" count="1" selected="0">
            <x v="0"/>
          </reference>
          <reference field="1" count="1" selected="0">
            <x v="1"/>
          </reference>
        </references>
      </pivotArea>
    </chartFormat>
    <chartFormat chart="13" format="10" series="1">
      <pivotArea type="data" outline="0" fieldPosition="0">
        <references count="2">
          <reference field="4294967294" count="1" selected="0">
            <x v="0"/>
          </reference>
          <reference field="1" count="1" selected="0">
            <x v="2"/>
          </reference>
        </references>
      </pivotArea>
    </chartFormat>
    <chartFormat chart="13"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F6E8C-2430-4A25-A190-C6EEFA46EF6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G20:I22" firstHeaderRow="0" firstDataRow="1" firstDataCol="1"/>
  <pivotFields count="7">
    <pivotField showAll="0"/>
    <pivotField showAll="0"/>
    <pivotField axis="axisRow" showAll="0">
      <items count="5">
        <item x="0"/>
        <item h="1" x="1"/>
        <item h="1" x="2"/>
        <item h="1" x="3"/>
        <item t="default"/>
      </items>
    </pivotField>
    <pivotField showAll="0"/>
    <pivotField showAll="0"/>
    <pivotField dataField="1" showAll="0"/>
    <pivotField dataField="1" showAll="0"/>
  </pivotFields>
  <rowFields count="1">
    <field x="2"/>
  </rowFields>
  <rowItems count="2">
    <i>
      <x/>
    </i>
    <i t="grand">
      <x/>
    </i>
  </rowItems>
  <colFields count="1">
    <field x="-2"/>
  </colFields>
  <colItems count="2">
    <i>
      <x/>
    </i>
    <i i="1">
      <x v="1"/>
    </i>
  </colItems>
  <dataFields count="2">
    <dataField name="Sum of Revenue" fld="5" baseField="0" baseItem="0" numFmtId="1"/>
    <dataField name="Sum of Profit" fld="6" baseField="0" baseItem="0"/>
  </dataFields>
  <formats count="1">
    <format dxfId="1">
      <pivotArea outline="0" collapsedLevelsAreSubtotals="1" fieldPosition="0"/>
    </format>
  </formats>
  <chartFormats count="1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2" count="1" selected="0">
            <x v="0"/>
          </reference>
        </references>
      </pivotArea>
    </chartFormat>
    <chartFormat chart="2" format="9">
      <pivotArea type="data" outline="0" fieldPosition="0">
        <references count="2">
          <reference field="4294967294" count="1" selected="0">
            <x v="1"/>
          </reference>
          <reference field="2" count="1" selected="0">
            <x v="1"/>
          </reference>
        </references>
      </pivotArea>
    </chartFormat>
    <chartFormat chart="2" format="10">
      <pivotArea type="data" outline="0" fieldPosition="0">
        <references count="2">
          <reference field="4294967294" count="1" selected="0">
            <x v="1"/>
          </reference>
          <reference field="2" count="1" selected="0">
            <x v="2"/>
          </reference>
        </references>
      </pivotArea>
    </chartFormat>
    <chartFormat chart="2" format="11">
      <pivotArea type="data" outline="0" fieldPosition="0">
        <references count="2">
          <reference field="4294967294" count="1" selected="0">
            <x v="1"/>
          </reference>
          <reference field="2" count="1" selected="0">
            <x v="3"/>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79F5F6-FDAF-41EE-AF29-F6B171377EF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8">
  <location ref="A11:C34" firstHeaderRow="0" firstDataRow="1" firstDataCol="1"/>
  <pivotFields count="7">
    <pivotField axis="axisRow" showAll="0" sortType="ascending">
      <items count="23">
        <item x="3"/>
        <item x="15"/>
        <item x="7"/>
        <item x="19"/>
        <item x="11"/>
        <item x="1"/>
        <item x="13"/>
        <item x="0"/>
        <item x="12"/>
        <item x="6"/>
        <item x="18"/>
        <item x="5"/>
        <item x="17"/>
        <item x="2"/>
        <item x="14"/>
        <item x="4"/>
        <item x="16"/>
        <item x="10"/>
        <item x="9"/>
        <item x="21"/>
        <item x="8"/>
        <item x="20"/>
        <item t="default"/>
      </items>
    </pivotField>
    <pivotField showAll="0"/>
    <pivotField showAll="0">
      <items count="5">
        <item x="0"/>
        <item h="1" x="1"/>
        <item h="1" x="2"/>
        <item h="1" x="3"/>
        <item t="default"/>
      </items>
    </pivotField>
    <pivotField showAll="0"/>
    <pivotField showAll="0"/>
    <pivotField dataField="1" showAll="0"/>
    <pivotField dataField="1"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Revenue" fld="5" baseField="0" baseItem="0" numFmtId="1"/>
    <dataField name="Sum of Profit" fld="6" baseField="0" baseItem="0"/>
  </dataFields>
  <formats count="1">
    <format dxfId="2">
      <pivotArea outline="0" collapsedLevelsAreSubtotals="1" fieldPosition="0"/>
    </format>
  </formats>
  <chartFormats count="1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4E7B3F-FC73-48FB-92B0-3C68AA001F7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G5" firstHeaderRow="0" firstDataRow="1" firstDataCol="1"/>
  <pivotFields count="7">
    <pivotField showAll="0"/>
    <pivotField showAll="0"/>
    <pivotField axis="axisRow" showAll="0">
      <items count="5">
        <item x="0"/>
        <item h="1" x="1"/>
        <item h="1" x="2"/>
        <item h="1" x="3"/>
        <item t="default"/>
      </items>
    </pivotField>
    <pivotField showAll="0"/>
    <pivotField showAll="0"/>
    <pivotField dataField="1" showAll="0"/>
    <pivotField dataField="1" showAll="0"/>
  </pivotFields>
  <rowFields count="1">
    <field x="2"/>
  </rowFields>
  <rowItems count="2">
    <i>
      <x/>
    </i>
    <i t="grand">
      <x/>
    </i>
  </rowItems>
  <colFields count="1">
    <field x="-2"/>
  </colFields>
  <colItems count="2">
    <i>
      <x/>
    </i>
    <i i="1">
      <x v="1"/>
    </i>
  </colItems>
  <dataFields count="2">
    <dataField name="Average of Profit" fld="6" subtotal="average" baseField="2" baseItem="0" numFmtId="1"/>
    <dataField name="Average of Revenue" fld="5" subtotal="average" baseField="2" baseItem="0"/>
  </dataFields>
  <formats count="2">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77AEE3-A600-4A07-AC34-F5847D31B2D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7">
    <pivotField showAll="0"/>
    <pivotField showAll="0"/>
    <pivotField showAll="0">
      <items count="5">
        <item x="0"/>
        <item h="1" x="1"/>
        <item h="1" x="2"/>
        <item h="1" x="3"/>
        <item t="default"/>
      </items>
    </pivotField>
    <pivotField showAll="0"/>
    <pivotField showAll="0"/>
    <pivotField showAll="0"/>
    <pivotField dataField="1" showAll="0"/>
  </pivotFields>
  <rowItems count="1">
    <i/>
  </rowItems>
  <colItems count="1">
    <i/>
  </colItems>
  <dataFields count="1">
    <dataField name="Sum of Profit" fld="6"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1A67A0-8E76-4D60-AE37-B5FF9C2DE05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7">
    <pivotField showAll="0"/>
    <pivotField showAll="0">
      <items count="5">
        <item x="2"/>
        <item h="1" x="0"/>
        <item h="1" x="1"/>
        <item h="1" x="3"/>
        <item t="default"/>
      </items>
    </pivotField>
    <pivotField showAll="0">
      <items count="5">
        <item x="0"/>
        <item h="1" x="1"/>
        <item h="1" x="2"/>
        <item h="1" x="3"/>
        <item t="default"/>
      </items>
    </pivotField>
    <pivotField showAll="0"/>
    <pivotField showAll="0"/>
    <pivotField dataField="1" showAll="0"/>
    <pivotField showAll="0"/>
  </pivotFields>
  <rowItems count="1">
    <i/>
  </rowItems>
  <colItems count="1">
    <i/>
  </colItems>
  <dataFields count="1">
    <dataField name="Sum of Revenue" fld="5"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6D1636-2C29-449D-99DB-BB038C0C415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G12:I17" firstHeaderRow="0" firstDataRow="1" firstDataCol="1"/>
  <pivotFields count="7">
    <pivotField showAll="0"/>
    <pivotField axis="axisRow" showAll="0">
      <items count="5">
        <item x="2"/>
        <item x="0"/>
        <item x="1"/>
        <item x="3"/>
        <item t="default"/>
      </items>
    </pivotField>
    <pivotField showAll="0">
      <items count="5">
        <item x="0"/>
        <item h="1" x="1"/>
        <item h="1" x="2"/>
        <item h="1" x="3"/>
        <item t="default"/>
      </items>
    </pivotField>
    <pivotField showAll="0"/>
    <pivotField showAll="0"/>
    <pivotField dataField="1" showAll="0"/>
    <pivotField dataField="1" showAll="0"/>
  </pivotFields>
  <rowFields count="1">
    <field x="1"/>
  </rowFields>
  <rowItems count="5">
    <i>
      <x/>
    </i>
    <i>
      <x v="1"/>
    </i>
    <i>
      <x v="2"/>
    </i>
    <i>
      <x v="3"/>
    </i>
    <i t="grand">
      <x/>
    </i>
  </rowItems>
  <colFields count="1">
    <field x="-2"/>
  </colFields>
  <colItems count="2">
    <i>
      <x/>
    </i>
    <i i="1">
      <x v="1"/>
    </i>
  </colItems>
  <dataFields count="2">
    <dataField name="Sum of Revenue" fld="5" baseField="0" baseItem="0" numFmtId="1"/>
    <dataField name="Sum of Profit" fld="6" baseField="0" baseItem="0"/>
  </dataFields>
  <formats count="1">
    <format dxfId="7">
      <pivotArea outline="0" collapsedLevelsAreSubtotals="1" fieldPosition="0"/>
    </format>
  </formats>
  <chartFormats count="4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pivotArea type="data" outline="0" fieldPosition="0">
        <references count="2">
          <reference field="4294967294" count="1" selected="0">
            <x v="1"/>
          </reference>
          <reference field="1"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1" count="1" selected="0">
            <x v="0"/>
          </reference>
        </references>
      </pivotArea>
    </chartFormat>
    <chartFormat chart="10" format="24">
      <pivotArea type="data" outline="0" fieldPosition="0">
        <references count="2">
          <reference field="4294967294" count="1" selected="0">
            <x v="0"/>
          </reference>
          <reference field="1" count="1" selected="0">
            <x v="1"/>
          </reference>
        </references>
      </pivotArea>
    </chartFormat>
    <chartFormat chart="10" format="25">
      <pivotArea type="data" outline="0" fieldPosition="0">
        <references count="2">
          <reference field="4294967294" count="1" selected="0">
            <x v="0"/>
          </reference>
          <reference field="1" count="1" selected="0">
            <x v="2"/>
          </reference>
        </references>
      </pivotArea>
    </chartFormat>
    <chartFormat chart="10" format="26">
      <pivotArea type="data" outline="0" fieldPosition="0">
        <references count="2">
          <reference field="4294967294" count="1" selected="0">
            <x v="0"/>
          </reference>
          <reference field="1" count="1" selected="0">
            <x v="3"/>
          </reference>
        </references>
      </pivotArea>
    </chartFormat>
    <chartFormat chart="10" format="27" series="1">
      <pivotArea type="data" outline="0" fieldPosition="0">
        <references count="1">
          <reference field="4294967294" count="1" selected="0">
            <x v="1"/>
          </reference>
        </references>
      </pivotArea>
    </chartFormat>
    <chartFormat chart="10" format="28">
      <pivotArea type="data" outline="0" fieldPosition="0">
        <references count="2">
          <reference field="4294967294" count="1" selected="0">
            <x v="1"/>
          </reference>
          <reference field="1" count="1" selected="0">
            <x v="0"/>
          </reference>
        </references>
      </pivotArea>
    </chartFormat>
    <chartFormat chart="10" format="29">
      <pivotArea type="data" outline="0" fieldPosition="0">
        <references count="2">
          <reference field="4294967294" count="1" selected="0">
            <x v="1"/>
          </reference>
          <reference field="1" count="1" selected="0">
            <x v="1"/>
          </reference>
        </references>
      </pivotArea>
    </chartFormat>
    <chartFormat chart="10" format="30">
      <pivotArea type="data" outline="0" fieldPosition="0">
        <references count="2">
          <reference field="4294967294" count="1" selected="0">
            <x v="1"/>
          </reference>
          <reference field="1" count="1" selected="0">
            <x v="2"/>
          </reference>
        </references>
      </pivotArea>
    </chartFormat>
    <chartFormat chart="10" format="31">
      <pivotArea type="data" outline="0" fieldPosition="0">
        <references count="2">
          <reference field="4294967294" count="1" selected="0">
            <x v="1"/>
          </reference>
          <reference field="1" count="1" selected="0">
            <x v="3"/>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0"/>
          </reference>
        </references>
      </pivotArea>
    </chartFormat>
    <chartFormat chart="17" format="4">
      <pivotArea type="data" outline="0" fieldPosition="0">
        <references count="2">
          <reference field="4294967294" count="1" selected="0">
            <x v="0"/>
          </reference>
          <reference field="1" count="1" selected="0">
            <x v="1"/>
          </reference>
        </references>
      </pivotArea>
    </chartFormat>
    <chartFormat chart="17" format="5">
      <pivotArea type="data" outline="0" fieldPosition="0">
        <references count="2">
          <reference field="4294967294" count="1" selected="0">
            <x v="0"/>
          </reference>
          <reference field="1" count="1" selected="0">
            <x v="2"/>
          </reference>
        </references>
      </pivotArea>
    </chartFormat>
    <chartFormat chart="17" format="6">
      <pivotArea type="data" outline="0" fieldPosition="0">
        <references count="2">
          <reference field="4294967294" count="1" selected="0">
            <x v="0"/>
          </reference>
          <reference field="1" count="1" selected="0">
            <x v="3"/>
          </reference>
        </references>
      </pivotArea>
    </chartFormat>
    <chartFormat chart="17" format="7" series="1">
      <pivotArea type="data" outline="0" fieldPosition="0">
        <references count="1">
          <reference field="4294967294" count="1" selected="0">
            <x v="1"/>
          </reference>
        </references>
      </pivotArea>
    </chartFormat>
    <chartFormat chart="17" format="8">
      <pivotArea type="data" outline="0" fieldPosition="0">
        <references count="2">
          <reference field="4294967294" count="1" selected="0">
            <x v="1"/>
          </reference>
          <reference field="1" count="1" selected="0">
            <x v="0"/>
          </reference>
        </references>
      </pivotArea>
    </chartFormat>
    <chartFormat chart="17" format="9">
      <pivotArea type="data" outline="0" fieldPosition="0">
        <references count="2">
          <reference field="4294967294" count="1" selected="0">
            <x v="1"/>
          </reference>
          <reference field="1" count="1" selected="0">
            <x v="1"/>
          </reference>
        </references>
      </pivotArea>
    </chartFormat>
    <chartFormat chart="17" format="10">
      <pivotArea type="data" outline="0" fieldPosition="0">
        <references count="2">
          <reference field="4294967294" count="1" selected="0">
            <x v="1"/>
          </reference>
          <reference field="1" count="1" selected="0">
            <x v="2"/>
          </reference>
        </references>
      </pivotArea>
    </chartFormat>
    <chartFormat chart="17" format="11">
      <pivotArea type="data" outline="0" fieldPosition="0">
        <references count="2">
          <reference field="4294967294" count="1" selected="0">
            <x v="1"/>
          </reference>
          <reference field="1" count="1" selected="0">
            <x v="3"/>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1" count="1" selected="0">
            <x v="0"/>
          </reference>
        </references>
      </pivotArea>
    </chartFormat>
    <chartFormat chart="18" format="14">
      <pivotArea type="data" outline="0" fieldPosition="0">
        <references count="2">
          <reference field="4294967294" count="1" selected="0">
            <x v="0"/>
          </reference>
          <reference field="1" count="1" selected="0">
            <x v="1"/>
          </reference>
        </references>
      </pivotArea>
    </chartFormat>
    <chartFormat chart="18" format="15">
      <pivotArea type="data" outline="0" fieldPosition="0">
        <references count="2">
          <reference field="4294967294" count="1" selected="0">
            <x v="0"/>
          </reference>
          <reference field="1" count="1" selected="0">
            <x v="2"/>
          </reference>
        </references>
      </pivotArea>
    </chartFormat>
    <chartFormat chart="18" format="16">
      <pivotArea type="data" outline="0" fieldPosition="0">
        <references count="2">
          <reference field="4294967294" count="1" selected="0">
            <x v="0"/>
          </reference>
          <reference field="1" count="1" selected="0">
            <x v="3"/>
          </reference>
        </references>
      </pivotArea>
    </chartFormat>
    <chartFormat chart="18" format="17" series="1">
      <pivotArea type="data" outline="0" fieldPosition="0">
        <references count="1">
          <reference field="4294967294" count="1" selected="0">
            <x v="1"/>
          </reference>
        </references>
      </pivotArea>
    </chartFormat>
    <chartFormat chart="18" format="18">
      <pivotArea type="data" outline="0" fieldPosition="0">
        <references count="2">
          <reference field="4294967294" count="1" selected="0">
            <x v="1"/>
          </reference>
          <reference field="1" count="1" selected="0">
            <x v="0"/>
          </reference>
        </references>
      </pivotArea>
    </chartFormat>
    <chartFormat chart="18" format="19">
      <pivotArea type="data" outline="0" fieldPosition="0">
        <references count="2">
          <reference field="4294967294" count="1" selected="0">
            <x v="1"/>
          </reference>
          <reference field="1" count="1" selected="0">
            <x v="1"/>
          </reference>
        </references>
      </pivotArea>
    </chartFormat>
    <chartFormat chart="18" format="20">
      <pivotArea type="data" outline="0" fieldPosition="0">
        <references count="2">
          <reference field="4294967294" count="1" selected="0">
            <x v="1"/>
          </reference>
          <reference field="1" count="1" selected="0">
            <x v="2"/>
          </reference>
        </references>
      </pivotArea>
    </chartFormat>
    <chartFormat chart="18" format="21">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B655B2-2DCF-4DB5-98E3-98605FE4F40A}" autoFormatId="16" applyNumberFormats="0" applyBorderFormats="0" applyFontFormats="0" applyPatternFormats="0" applyAlignmentFormats="0" applyWidthHeightFormats="0">
  <queryTableRefresh nextId="8">
    <queryTableFields count="7">
      <queryTableField id="1" name="Month_Year " tableColumnId="1"/>
      <queryTableField id="2" name="Region" tableColumnId="2"/>
      <queryTableField id="3" name="Product" tableColumnId="3"/>
      <queryTableField id="4" name="Units Sold" tableColumnId="4"/>
      <queryTableField id="5" name="Unit Price" tableColumnId="5"/>
      <queryTableField id="6" name="Revenue" tableColumnId="6"/>
      <queryTableField id="7" name="Profi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B35CBEA-122B-4C64-BA83-5922B5621A85}" sourceName="Product">
  <pivotTables>
    <pivotTable tabId="9" name="PivotTable7"/>
    <pivotTable tabId="9" name="PivotTable1"/>
    <pivotTable tabId="9" name="PivotTable2"/>
    <pivotTable tabId="9" name="PivotTable3"/>
    <pivotTable tabId="9" name="PivotTable4"/>
    <pivotTable tabId="9" name="PivotTable6"/>
    <pivotTable tabId="9" name="PivotTable9"/>
  </pivotTables>
  <data>
    <tabular pivotCacheId="404959016">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40BE307-2AA0-44B3-9158-1112A1B3B484}" sourceName="Region">
  <pivotTables>
    <pivotTable tabId="9" name="PivotTable1"/>
  </pivotTables>
  <data>
    <tabular pivotCacheId="404959016">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21DD014-E0B4-4F30-BB27-DCD012B19A51}" cache="Slicer_Product" caption="Product" showCaption="0" style="SlicerStyleDark1" rowHeight="180000"/>
  <slicer name="Region" xr10:uid="{D4B277BA-8FB2-4941-82C2-186DE17763AD}" cache="Slicer_Region1" caption="Region" showCaption="0" style="SlicerStyleDark1" rowHeight="25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B5C831-5DFD-41A8-81F8-1DD1FBA407E1}" name="Table1" displayName="Table1" ref="A1:K353" totalsRowShown="0" headerRowDxfId="14" headerRowBorderDxfId="13" tableBorderDxfId="12">
  <autoFilter ref="A1:K353" xr:uid="{25B5C831-5DFD-41A8-81F8-1DD1FBA407E1}"/>
  <tableColumns count="11">
    <tableColumn id="1" xr3:uid="{6C54BF87-14E5-4637-BD98-4489D51EF0F0}" name="Date" dataDxfId="11"/>
    <tableColumn id="2" xr3:uid="{E6F2883B-FB13-433D-98CB-DF29EAB3BC4E}" name="Year"/>
    <tableColumn id="3" xr3:uid="{2F00F106-D456-416D-9245-7814C3424454}" name="Month"/>
    <tableColumn id="4" xr3:uid="{7A26A600-805B-4024-B5F6-1DB3EF54F64F}" name="Month Name"/>
    <tableColumn id="5" xr3:uid="{FDCF5743-553C-4E3C-9C9A-B56BFD8EC543}" name="Month-Year"/>
    <tableColumn id="6" xr3:uid="{1896E4D0-9A89-410F-872D-6894C2D6C7A1}" name="Region"/>
    <tableColumn id="7" xr3:uid="{F0A3DFC1-BDCC-44D8-AFEE-0D37D52EEBFC}" name="Product"/>
    <tableColumn id="8" xr3:uid="{96A9DEDD-4ACF-4B20-B055-E49211ECC1BE}" name="Units Sold"/>
    <tableColumn id="9" xr3:uid="{41B66470-7786-47BE-B0DF-0DFC941036B6}" name="Unit Price"/>
    <tableColumn id="10" xr3:uid="{E0A0C776-0406-4382-9940-0DEC86ADACE8}" name="Revenue"/>
    <tableColumn id="11" xr3:uid="{4F149973-9A2B-4759-9A85-AA3DD1AF3B31}"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0FAFDC-23BD-4B7B-99F9-F84FD4C46C14}" name="Table1_2" displayName="Table1_2" ref="A1:G353" tableType="queryTable" totalsRowShown="0">
  <autoFilter ref="A1:G353" xr:uid="{5B0FAFDC-23BD-4B7B-99F9-F84FD4C46C14}"/>
  <tableColumns count="7">
    <tableColumn id="1" xr3:uid="{49674776-F68D-406D-B39D-88CB0AC059EF}" uniqueName="1" name="Month_Year " queryTableFieldId="1" dataDxfId="10"/>
    <tableColumn id="2" xr3:uid="{2EC459E7-7BD5-4EEC-B4DD-BD6CCD9FC453}" uniqueName="2" name="Region" queryTableFieldId="2" dataDxfId="9"/>
    <tableColumn id="3" xr3:uid="{6F822F3A-4900-419D-849A-99158FBB759A}" uniqueName="3" name="Product" queryTableFieldId="3" dataDxfId="8"/>
    <tableColumn id="4" xr3:uid="{86D925B7-B99C-4D96-93A8-D286E79184B2}" uniqueName="4" name="Units Sold" queryTableFieldId="4"/>
    <tableColumn id="5" xr3:uid="{2BFFC321-BE14-4698-B3D6-569303F45A13}" uniqueName="5" name="Unit Price" queryTableFieldId="5"/>
    <tableColumn id="6" xr3:uid="{3C19DE43-EA44-43F9-9C9A-E5EC9E935375}" uniqueName="6" name="Revenue" queryTableFieldId="6"/>
    <tableColumn id="7" xr3:uid="{7B7E832C-9B03-4099-8F4E-12B2B0108C0E}" uniqueName="7" name="Profi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3"/>
  <sheetViews>
    <sheetView workbookViewId="0">
      <selection sqref="A1:K353"/>
    </sheetView>
  </sheetViews>
  <sheetFormatPr defaultRowHeight="14.4" x14ac:dyDescent="0.3"/>
  <cols>
    <col min="1" max="1" width="12.6640625" customWidth="1"/>
    <col min="2" max="3" width="10.6640625" customWidth="1"/>
    <col min="4" max="4" width="14.109375" customWidth="1"/>
    <col min="5" max="5" width="13" customWidth="1"/>
    <col min="6" max="11" width="12.6640625" customWidth="1"/>
  </cols>
  <sheetData>
    <row r="1" spans="1:11" x14ac:dyDescent="0.3">
      <c r="A1" s="2" t="s">
        <v>0</v>
      </c>
      <c r="B1" s="2" t="s">
        <v>1</v>
      </c>
      <c r="C1" s="2" t="s">
        <v>2</v>
      </c>
      <c r="D1" s="2" t="s">
        <v>3</v>
      </c>
      <c r="E1" s="2" t="s">
        <v>4</v>
      </c>
      <c r="F1" s="2" t="s">
        <v>5</v>
      </c>
      <c r="G1" s="2" t="s">
        <v>6</v>
      </c>
      <c r="H1" s="2" t="s">
        <v>7</v>
      </c>
      <c r="I1" s="2" t="s">
        <v>8</v>
      </c>
      <c r="J1" s="2" t="s">
        <v>9</v>
      </c>
      <c r="K1" s="2" t="s">
        <v>10</v>
      </c>
    </row>
    <row r="2" spans="1:11" x14ac:dyDescent="0.3">
      <c r="A2" s="1">
        <v>45292</v>
      </c>
      <c r="B2">
        <v>2024</v>
      </c>
      <c r="C2">
        <v>1</v>
      </c>
      <c r="D2" t="s">
        <v>11</v>
      </c>
      <c r="E2" t="s">
        <v>23</v>
      </c>
      <c r="F2" t="s">
        <v>45</v>
      </c>
      <c r="G2" t="s">
        <v>49</v>
      </c>
      <c r="H2">
        <v>122</v>
      </c>
      <c r="I2">
        <v>161.34316750344419</v>
      </c>
      <c r="J2">
        <v>19683.87</v>
      </c>
      <c r="K2">
        <v>2772.96</v>
      </c>
    </row>
    <row r="3" spans="1:11" x14ac:dyDescent="0.3">
      <c r="A3" s="1">
        <v>45292</v>
      </c>
      <c r="B3">
        <v>2024</v>
      </c>
      <c r="C3">
        <v>1</v>
      </c>
      <c r="D3" t="s">
        <v>11</v>
      </c>
      <c r="E3" t="s">
        <v>23</v>
      </c>
      <c r="F3" t="s">
        <v>45</v>
      </c>
      <c r="G3" t="s">
        <v>50</v>
      </c>
      <c r="H3">
        <v>40</v>
      </c>
      <c r="I3">
        <v>39.643541684062939</v>
      </c>
      <c r="J3">
        <v>1585.74</v>
      </c>
      <c r="K3">
        <v>281.77</v>
      </c>
    </row>
    <row r="4" spans="1:11" x14ac:dyDescent="0.3">
      <c r="A4" s="1">
        <v>45292</v>
      </c>
      <c r="B4">
        <v>2024</v>
      </c>
      <c r="C4">
        <v>1</v>
      </c>
      <c r="D4" t="s">
        <v>11</v>
      </c>
      <c r="E4" t="s">
        <v>23</v>
      </c>
      <c r="F4" t="s">
        <v>45</v>
      </c>
      <c r="G4" t="s">
        <v>51</v>
      </c>
      <c r="H4">
        <v>486</v>
      </c>
      <c r="I4">
        <v>28.995234005420549</v>
      </c>
      <c r="J4">
        <v>14091.68</v>
      </c>
      <c r="K4">
        <v>1687.91</v>
      </c>
    </row>
    <row r="5" spans="1:11" x14ac:dyDescent="0.3">
      <c r="A5" s="1">
        <v>45292</v>
      </c>
      <c r="B5">
        <v>2024</v>
      </c>
      <c r="C5">
        <v>1</v>
      </c>
      <c r="D5" t="s">
        <v>11</v>
      </c>
      <c r="E5" t="s">
        <v>23</v>
      </c>
      <c r="F5" t="s">
        <v>45</v>
      </c>
      <c r="G5" t="s">
        <v>52</v>
      </c>
      <c r="H5">
        <v>379</v>
      </c>
      <c r="I5">
        <v>144.5337897812486</v>
      </c>
      <c r="J5">
        <v>54778.31</v>
      </c>
      <c r="K5">
        <v>5485.72</v>
      </c>
    </row>
    <row r="6" spans="1:11" x14ac:dyDescent="0.3">
      <c r="A6" s="1">
        <v>45292</v>
      </c>
      <c r="B6">
        <v>2024</v>
      </c>
      <c r="C6">
        <v>1</v>
      </c>
      <c r="D6" t="s">
        <v>11</v>
      </c>
      <c r="E6" t="s">
        <v>23</v>
      </c>
      <c r="F6" t="s">
        <v>46</v>
      </c>
      <c r="G6" t="s">
        <v>49</v>
      </c>
      <c r="H6">
        <v>169</v>
      </c>
      <c r="I6">
        <v>20.718200015149051</v>
      </c>
      <c r="J6">
        <v>3501.38</v>
      </c>
      <c r="K6">
        <v>401.47</v>
      </c>
    </row>
    <row r="7" spans="1:11" x14ac:dyDescent="0.3">
      <c r="A7" s="1">
        <v>45292</v>
      </c>
      <c r="B7">
        <v>2024</v>
      </c>
      <c r="C7">
        <v>1</v>
      </c>
      <c r="D7" t="s">
        <v>11</v>
      </c>
      <c r="E7" t="s">
        <v>23</v>
      </c>
      <c r="F7" t="s">
        <v>46</v>
      </c>
      <c r="G7" t="s">
        <v>50</v>
      </c>
      <c r="H7">
        <v>405</v>
      </c>
      <c r="I7">
        <v>44.546743769349121</v>
      </c>
      <c r="J7">
        <v>18041.43</v>
      </c>
      <c r="K7">
        <v>3109.62</v>
      </c>
    </row>
    <row r="8" spans="1:11" x14ac:dyDescent="0.3">
      <c r="A8" s="1">
        <v>45292</v>
      </c>
      <c r="B8">
        <v>2024</v>
      </c>
      <c r="C8">
        <v>1</v>
      </c>
      <c r="D8" t="s">
        <v>11</v>
      </c>
      <c r="E8" t="s">
        <v>23</v>
      </c>
      <c r="F8" t="s">
        <v>46</v>
      </c>
      <c r="G8" t="s">
        <v>51</v>
      </c>
      <c r="H8">
        <v>296</v>
      </c>
      <c r="I8">
        <v>127.32148682926611</v>
      </c>
      <c r="J8">
        <v>37687.160000000003</v>
      </c>
      <c r="K8">
        <v>5292.95</v>
      </c>
    </row>
    <row r="9" spans="1:11" x14ac:dyDescent="0.3">
      <c r="A9" s="1">
        <v>45292</v>
      </c>
      <c r="B9">
        <v>2024</v>
      </c>
      <c r="C9">
        <v>1</v>
      </c>
      <c r="D9" t="s">
        <v>11</v>
      </c>
      <c r="E9" t="s">
        <v>23</v>
      </c>
      <c r="F9" t="s">
        <v>46</v>
      </c>
      <c r="G9" t="s">
        <v>52</v>
      </c>
      <c r="H9">
        <v>189</v>
      </c>
      <c r="I9">
        <v>18.866476010586929</v>
      </c>
      <c r="J9">
        <v>3565.76</v>
      </c>
      <c r="K9">
        <v>290.41000000000003</v>
      </c>
    </row>
    <row r="10" spans="1:11" x14ac:dyDescent="0.3">
      <c r="A10" s="1">
        <v>45292</v>
      </c>
      <c r="B10">
        <v>2024</v>
      </c>
      <c r="C10">
        <v>1</v>
      </c>
      <c r="D10" t="s">
        <v>11</v>
      </c>
      <c r="E10" t="s">
        <v>23</v>
      </c>
      <c r="F10" t="s">
        <v>47</v>
      </c>
      <c r="G10" t="s">
        <v>49</v>
      </c>
      <c r="H10">
        <v>207</v>
      </c>
      <c r="I10">
        <v>79.60875022580143</v>
      </c>
      <c r="J10">
        <v>16479.009999999998</v>
      </c>
      <c r="K10">
        <v>2790.11</v>
      </c>
    </row>
    <row r="11" spans="1:11" x14ac:dyDescent="0.3">
      <c r="A11" s="1">
        <v>45292</v>
      </c>
      <c r="B11">
        <v>2024</v>
      </c>
      <c r="C11">
        <v>1</v>
      </c>
      <c r="D11" t="s">
        <v>11</v>
      </c>
      <c r="E11" t="s">
        <v>23</v>
      </c>
      <c r="F11" t="s">
        <v>47</v>
      </c>
      <c r="G11" t="s">
        <v>50</v>
      </c>
      <c r="H11">
        <v>70</v>
      </c>
      <c r="I11">
        <v>82.667778340760918</v>
      </c>
      <c r="J11">
        <v>5786.74</v>
      </c>
      <c r="K11">
        <v>1131.22</v>
      </c>
    </row>
    <row r="12" spans="1:11" x14ac:dyDescent="0.3">
      <c r="A12" s="1">
        <v>45292</v>
      </c>
      <c r="B12">
        <v>2024</v>
      </c>
      <c r="C12">
        <v>1</v>
      </c>
      <c r="D12" t="s">
        <v>11</v>
      </c>
      <c r="E12" t="s">
        <v>23</v>
      </c>
      <c r="F12" t="s">
        <v>47</v>
      </c>
      <c r="G12" t="s">
        <v>51</v>
      </c>
      <c r="H12">
        <v>263</v>
      </c>
      <c r="I12">
        <v>122.5587680837881</v>
      </c>
      <c r="J12">
        <v>32232.959999999999</v>
      </c>
      <c r="K12">
        <v>5558.39</v>
      </c>
    </row>
    <row r="13" spans="1:11" x14ac:dyDescent="0.3">
      <c r="A13" s="1">
        <v>45292</v>
      </c>
      <c r="B13">
        <v>2024</v>
      </c>
      <c r="C13">
        <v>1</v>
      </c>
      <c r="D13" t="s">
        <v>11</v>
      </c>
      <c r="E13" t="s">
        <v>23</v>
      </c>
      <c r="F13" t="s">
        <v>47</v>
      </c>
      <c r="G13" t="s">
        <v>52</v>
      </c>
      <c r="H13">
        <v>40</v>
      </c>
      <c r="I13">
        <v>95.594857874213162</v>
      </c>
      <c r="J13">
        <v>3823.79</v>
      </c>
      <c r="K13">
        <v>419.44</v>
      </c>
    </row>
    <row r="14" spans="1:11" x14ac:dyDescent="0.3">
      <c r="A14" s="1">
        <v>45292</v>
      </c>
      <c r="B14">
        <v>2024</v>
      </c>
      <c r="C14">
        <v>1</v>
      </c>
      <c r="D14" t="s">
        <v>11</v>
      </c>
      <c r="E14" t="s">
        <v>23</v>
      </c>
      <c r="F14" t="s">
        <v>48</v>
      </c>
      <c r="G14" t="s">
        <v>49</v>
      </c>
      <c r="H14">
        <v>293</v>
      </c>
      <c r="I14">
        <v>190.2882520781333</v>
      </c>
      <c r="J14">
        <v>55754.46</v>
      </c>
      <c r="K14">
        <v>5742</v>
      </c>
    </row>
    <row r="15" spans="1:11" x14ac:dyDescent="0.3">
      <c r="A15" s="1">
        <v>45292</v>
      </c>
      <c r="B15">
        <v>2024</v>
      </c>
      <c r="C15">
        <v>1</v>
      </c>
      <c r="D15" t="s">
        <v>11</v>
      </c>
      <c r="E15" t="s">
        <v>23</v>
      </c>
      <c r="F15" t="s">
        <v>48</v>
      </c>
      <c r="G15" t="s">
        <v>50</v>
      </c>
      <c r="H15">
        <v>359</v>
      </c>
      <c r="I15">
        <v>55.794838544942223</v>
      </c>
      <c r="J15">
        <v>20030.349999999999</v>
      </c>
      <c r="K15">
        <v>3388.46</v>
      </c>
    </row>
    <row r="16" spans="1:11" x14ac:dyDescent="0.3">
      <c r="A16" s="1">
        <v>45292</v>
      </c>
      <c r="B16">
        <v>2024</v>
      </c>
      <c r="C16">
        <v>1</v>
      </c>
      <c r="D16" t="s">
        <v>11</v>
      </c>
      <c r="E16" t="s">
        <v>23</v>
      </c>
      <c r="F16" t="s">
        <v>48</v>
      </c>
      <c r="G16" t="s">
        <v>51</v>
      </c>
      <c r="H16">
        <v>463</v>
      </c>
      <c r="I16">
        <v>33.187264620507968</v>
      </c>
      <c r="J16">
        <v>15365.7</v>
      </c>
      <c r="K16">
        <v>2064.0300000000002</v>
      </c>
    </row>
    <row r="17" spans="1:11" x14ac:dyDescent="0.3">
      <c r="A17" s="1">
        <v>45292</v>
      </c>
      <c r="B17">
        <v>2024</v>
      </c>
      <c r="C17">
        <v>1</v>
      </c>
      <c r="D17" t="s">
        <v>11</v>
      </c>
      <c r="E17" t="s">
        <v>23</v>
      </c>
      <c r="F17" t="s">
        <v>48</v>
      </c>
      <c r="G17" t="s">
        <v>52</v>
      </c>
      <c r="H17">
        <v>225</v>
      </c>
      <c r="I17">
        <v>84.301515438915757</v>
      </c>
      <c r="J17">
        <v>18967.84</v>
      </c>
      <c r="K17">
        <v>1799.85</v>
      </c>
    </row>
    <row r="18" spans="1:11" x14ac:dyDescent="0.3">
      <c r="A18" s="1">
        <v>45323</v>
      </c>
      <c r="B18">
        <v>2024</v>
      </c>
      <c r="C18">
        <v>2</v>
      </c>
      <c r="D18" t="s">
        <v>12</v>
      </c>
      <c r="E18" t="s">
        <v>24</v>
      </c>
      <c r="F18" t="s">
        <v>45</v>
      </c>
      <c r="G18" t="s">
        <v>49</v>
      </c>
      <c r="H18">
        <v>69</v>
      </c>
      <c r="I18">
        <v>135.87923402725659</v>
      </c>
      <c r="J18">
        <v>9375.67</v>
      </c>
      <c r="K18">
        <v>1258</v>
      </c>
    </row>
    <row r="19" spans="1:11" x14ac:dyDescent="0.3">
      <c r="A19" s="1">
        <v>45323</v>
      </c>
      <c r="B19">
        <v>2024</v>
      </c>
      <c r="C19">
        <v>2</v>
      </c>
      <c r="D19" t="s">
        <v>12</v>
      </c>
      <c r="E19" t="s">
        <v>24</v>
      </c>
      <c r="F19" t="s">
        <v>45</v>
      </c>
      <c r="G19" t="s">
        <v>50</v>
      </c>
      <c r="H19">
        <v>125</v>
      </c>
      <c r="I19">
        <v>117.86306228579841</v>
      </c>
      <c r="J19">
        <v>14732.88</v>
      </c>
      <c r="K19">
        <v>2221.8200000000002</v>
      </c>
    </row>
    <row r="20" spans="1:11" x14ac:dyDescent="0.3">
      <c r="A20" s="1">
        <v>45323</v>
      </c>
      <c r="B20">
        <v>2024</v>
      </c>
      <c r="C20">
        <v>2</v>
      </c>
      <c r="D20" t="s">
        <v>12</v>
      </c>
      <c r="E20" t="s">
        <v>24</v>
      </c>
      <c r="F20" t="s">
        <v>45</v>
      </c>
      <c r="G20" t="s">
        <v>51</v>
      </c>
      <c r="H20">
        <v>496</v>
      </c>
      <c r="I20">
        <v>194.22107927526611</v>
      </c>
      <c r="J20">
        <v>96333.66</v>
      </c>
      <c r="K20">
        <v>15834.63</v>
      </c>
    </row>
    <row r="21" spans="1:11" x14ac:dyDescent="0.3">
      <c r="A21" s="1">
        <v>45323</v>
      </c>
      <c r="B21">
        <v>2024</v>
      </c>
      <c r="C21">
        <v>2</v>
      </c>
      <c r="D21" t="s">
        <v>12</v>
      </c>
      <c r="E21" t="s">
        <v>24</v>
      </c>
      <c r="F21" t="s">
        <v>45</v>
      </c>
      <c r="G21" t="s">
        <v>52</v>
      </c>
      <c r="H21">
        <v>323</v>
      </c>
      <c r="I21">
        <v>72.042746073108731</v>
      </c>
      <c r="J21">
        <v>23269.81</v>
      </c>
      <c r="K21">
        <v>2970.05</v>
      </c>
    </row>
    <row r="22" spans="1:11" x14ac:dyDescent="0.3">
      <c r="A22" s="1">
        <v>45323</v>
      </c>
      <c r="B22">
        <v>2024</v>
      </c>
      <c r="C22">
        <v>2</v>
      </c>
      <c r="D22" t="s">
        <v>12</v>
      </c>
      <c r="E22" t="s">
        <v>24</v>
      </c>
      <c r="F22" t="s">
        <v>46</v>
      </c>
      <c r="G22" t="s">
        <v>49</v>
      </c>
      <c r="H22">
        <v>481</v>
      </c>
      <c r="I22">
        <v>47.236743859637578</v>
      </c>
      <c r="J22">
        <v>22720.87</v>
      </c>
      <c r="K22">
        <v>2446.7399999999998</v>
      </c>
    </row>
    <row r="23" spans="1:11" x14ac:dyDescent="0.3">
      <c r="A23" s="1">
        <v>45323</v>
      </c>
      <c r="B23">
        <v>2024</v>
      </c>
      <c r="C23">
        <v>2</v>
      </c>
      <c r="D23" t="s">
        <v>12</v>
      </c>
      <c r="E23" t="s">
        <v>24</v>
      </c>
      <c r="F23" t="s">
        <v>46</v>
      </c>
      <c r="G23" t="s">
        <v>50</v>
      </c>
      <c r="H23">
        <v>227</v>
      </c>
      <c r="I23">
        <v>151.9908209261024</v>
      </c>
      <c r="J23">
        <v>34501.919999999998</v>
      </c>
      <c r="K23">
        <v>5657.55</v>
      </c>
    </row>
    <row r="24" spans="1:11" x14ac:dyDescent="0.3">
      <c r="A24" s="1">
        <v>45323</v>
      </c>
      <c r="B24">
        <v>2024</v>
      </c>
      <c r="C24">
        <v>2</v>
      </c>
      <c r="D24" t="s">
        <v>12</v>
      </c>
      <c r="E24" t="s">
        <v>24</v>
      </c>
      <c r="F24" t="s">
        <v>46</v>
      </c>
      <c r="G24" t="s">
        <v>51</v>
      </c>
      <c r="H24">
        <v>386</v>
      </c>
      <c r="I24">
        <v>167.46012673886659</v>
      </c>
      <c r="J24">
        <v>64639.61</v>
      </c>
      <c r="K24">
        <v>7308.57</v>
      </c>
    </row>
    <row r="25" spans="1:11" x14ac:dyDescent="0.3">
      <c r="A25" s="1">
        <v>45323</v>
      </c>
      <c r="B25">
        <v>2024</v>
      </c>
      <c r="C25">
        <v>2</v>
      </c>
      <c r="D25" t="s">
        <v>12</v>
      </c>
      <c r="E25" t="s">
        <v>24</v>
      </c>
      <c r="F25" t="s">
        <v>46</v>
      </c>
      <c r="G25" t="s">
        <v>52</v>
      </c>
      <c r="H25">
        <v>399</v>
      </c>
      <c r="I25">
        <v>62.439844584283243</v>
      </c>
      <c r="J25">
        <v>24913.5</v>
      </c>
      <c r="K25">
        <v>1803.44</v>
      </c>
    </row>
    <row r="26" spans="1:11" x14ac:dyDescent="0.3">
      <c r="A26" s="1">
        <v>45323</v>
      </c>
      <c r="B26">
        <v>2024</v>
      </c>
      <c r="C26">
        <v>2</v>
      </c>
      <c r="D26" t="s">
        <v>12</v>
      </c>
      <c r="E26" t="s">
        <v>24</v>
      </c>
      <c r="F26" t="s">
        <v>47</v>
      </c>
      <c r="G26" t="s">
        <v>49</v>
      </c>
      <c r="H26">
        <v>176</v>
      </c>
      <c r="I26">
        <v>162.41742634326761</v>
      </c>
      <c r="J26">
        <v>28585.47</v>
      </c>
      <c r="K26">
        <v>3614.96</v>
      </c>
    </row>
    <row r="27" spans="1:11" x14ac:dyDescent="0.3">
      <c r="A27" s="1">
        <v>45323</v>
      </c>
      <c r="B27">
        <v>2024</v>
      </c>
      <c r="C27">
        <v>2</v>
      </c>
      <c r="D27" t="s">
        <v>12</v>
      </c>
      <c r="E27" t="s">
        <v>24</v>
      </c>
      <c r="F27" t="s">
        <v>47</v>
      </c>
      <c r="G27" t="s">
        <v>50</v>
      </c>
      <c r="H27">
        <v>491</v>
      </c>
      <c r="I27">
        <v>12.675166315866051</v>
      </c>
      <c r="J27">
        <v>6223.51</v>
      </c>
      <c r="K27">
        <v>1320.84</v>
      </c>
    </row>
    <row r="28" spans="1:11" x14ac:dyDescent="0.3">
      <c r="A28" s="1">
        <v>45323</v>
      </c>
      <c r="B28">
        <v>2024</v>
      </c>
      <c r="C28">
        <v>2</v>
      </c>
      <c r="D28" t="s">
        <v>12</v>
      </c>
      <c r="E28" t="s">
        <v>24</v>
      </c>
      <c r="F28" t="s">
        <v>47</v>
      </c>
      <c r="G28" t="s">
        <v>51</v>
      </c>
      <c r="H28">
        <v>100</v>
      </c>
      <c r="I28">
        <v>145.1549710222435</v>
      </c>
      <c r="J28">
        <v>14515.5</v>
      </c>
      <c r="K28">
        <v>2605.83</v>
      </c>
    </row>
    <row r="29" spans="1:11" x14ac:dyDescent="0.3">
      <c r="A29" s="1">
        <v>45323</v>
      </c>
      <c r="B29">
        <v>2024</v>
      </c>
      <c r="C29">
        <v>2</v>
      </c>
      <c r="D29" t="s">
        <v>12</v>
      </c>
      <c r="E29" t="s">
        <v>24</v>
      </c>
      <c r="F29" t="s">
        <v>47</v>
      </c>
      <c r="G29" t="s">
        <v>52</v>
      </c>
      <c r="H29">
        <v>250</v>
      </c>
      <c r="I29">
        <v>133.70463484536941</v>
      </c>
      <c r="J29">
        <v>33426.160000000003</v>
      </c>
      <c r="K29">
        <v>4882.67</v>
      </c>
    </row>
    <row r="30" spans="1:11" x14ac:dyDescent="0.3">
      <c r="A30" s="1">
        <v>45323</v>
      </c>
      <c r="B30">
        <v>2024</v>
      </c>
      <c r="C30">
        <v>2</v>
      </c>
      <c r="D30" t="s">
        <v>12</v>
      </c>
      <c r="E30" t="s">
        <v>24</v>
      </c>
      <c r="F30" t="s">
        <v>48</v>
      </c>
      <c r="G30" t="s">
        <v>49</v>
      </c>
      <c r="H30">
        <v>47</v>
      </c>
      <c r="I30">
        <v>173.98965091636279</v>
      </c>
      <c r="J30">
        <v>8177.51</v>
      </c>
      <c r="K30">
        <v>693.75</v>
      </c>
    </row>
    <row r="31" spans="1:11" x14ac:dyDescent="0.3">
      <c r="A31" s="1">
        <v>45323</v>
      </c>
      <c r="B31">
        <v>2024</v>
      </c>
      <c r="C31">
        <v>2</v>
      </c>
      <c r="D31" t="s">
        <v>12</v>
      </c>
      <c r="E31" t="s">
        <v>24</v>
      </c>
      <c r="F31" t="s">
        <v>48</v>
      </c>
      <c r="G31" t="s">
        <v>50</v>
      </c>
      <c r="H31">
        <v>67</v>
      </c>
      <c r="I31">
        <v>80.455467917670603</v>
      </c>
      <c r="J31">
        <v>5390.52</v>
      </c>
      <c r="K31">
        <v>1061.8900000000001</v>
      </c>
    </row>
    <row r="32" spans="1:11" x14ac:dyDescent="0.3">
      <c r="A32" s="1">
        <v>45323</v>
      </c>
      <c r="B32">
        <v>2024</v>
      </c>
      <c r="C32">
        <v>2</v>
      </c>
      <c r="D32" t="s">
        <v>12</v>
      </c>
      <c r="E32" t="s">
        <v>24</v>
      </c>
      <c r="F32" t="s">
        <v>48</v>
      </c>
      <c r="G32" t="s">
        <v>51</v>
      </c>
      <c r="H32">
        <v>81</v>
      </c>
      <c r="I32">
        <v>71.784831185081941</v>
      </c>
      <c r="J32">
        <v>5814.57</v>
      </c>
      <c r="K32">
        <v>937.6</v>
      </c>
    </row>
    <row r="33" spans="1:11" x14ac:dyDescent="0.3">
      <c r="A33" s="1">
        <v>45323</v>
      </c>
      <c r="B33">
        <v>2024</v>
      </c>
      <c r="C33">
        <v>2</v>
      </c>
      <c r="D33" t="s">
        <v>12</v>
      </c>
      <c r="E33" t="s">
        <v>24</v>
      </c>
      <c r="F33" t="s">
        <v>48</v>
      </c>
      <c r="G33" t="s">
        <v>52</v>
      </c>
      <c r="H33">
        <v>494</v>
      </c>
      <c r="I33">
        <v>116.6362509110632</v>
      </c>
      <c r="J33">
        <v>57618.31</v>
      </c>
      <c r="K33">
        <v>7036.62</v>
      </c>
    </row>
    <row r="34" spans="1:11" x14ac:dyDescent="0.3">
      <c r="A34" s="1">
        <v>45352</v>
      </c>
      <c r="B34">
        <v>2024</v>
      </c>
      <c r="C34">
        <v>3</v>
      </c>
      <c r="D34" t="s">
        <v>13</v>
      </c>
      <c r="E34" t="s">
        <v>25</v>
      </c>
      <c r="F34" t="s">
        <v>45</v>
      </c>
      <c r="G34" t="s">
        <v>49</v>
      </c>
      <c r="H34">
        <v>246</v>
      </c>
      <c r="I34">
        <v>32.722906728277323</v>
      </c>
      <c r="J34">
        <v>8049.84</v>
      </c>
      <c r="K34">
        <v>1203.1199999999999</v>
      </c>
    </row>
    <row r="35" spans="1:11" x14ac:dyDescent="0.3">
      <c r="A35" s="1">
        <v>45352</v>
      </c>
      <c r="B35">
        <v>2024</v>
      </c>
      <c r="C35">
        <v>3</v>
      </c>
      <c r="D35" t="s">
        <v>13</v>
      </c>
      <c r="E35" t="s">
        <v>25</v>
      </c>
      <c r="F35" t="s">
        <v>45</v>
      </c>
      <c r="G35" t="s">
        <v>50</v>
      </c>
      <c r="H35">
        <v>237</v>
      </c>
      <c r="I35">
        <v>54.837134752301587</v>
      </c>
      <c r="J35">
        <v>12996.4</v>
      </c>
      <c r="K35">
        <v>2676.11</v>
      </c>
    </row>
    <row r="36" spans="1:11" x14ac:dyDescent="0.3">
      <c r="A36" s="1">
        <v>45352</v>
      </c>
      <c r="B36">
        <v>2024</v>
      </c>
      <c r="C36">
        <v>3</v>
      </c>
      <c r="D36" t="s">
        <v>13</v>
      </c>
      <c r="E36" t="s">
        <v>25</v>
      </c>
      <c r="F36" t="s">
        <v>45</v>
      </c>
      <c r="G36" t="s">
        <v>51</v>
      </c>
      <c r="H36">
        <v>417</v>
      </c>
      <c r="I36">
        <v>103.82116330923419</v>
      </c>
      <c r="J36">
        <v>43293.43</v>
      </c>
      <c r="K36">
        <v>4658.59</v>
      </c>
    </row>
    <row r="37" spans="1:11" x14ac:dyDescent="0.3">
      <c r="A37" s="1">
        <v>45352</v>
      </c>
      <c r="B37">
        <v>2024</v>
      </c>
      <c r="C37">
        <v>3</v>
      </c>
      <c r="D37" t="s">
        <v>13</v>
      </c>
      <c r="E37" t="s">
        <v>25</v>
      </c>
      <c r="F37" t="s">
        <v>45</v>
      </c>
      <c r="G37" t="s">
        <v>52</v>
      </c>
      <c r="H37">
        <v>61</v>
      </c>
      <c r="I37">
        <v>93.473935354496319</v>
      </c>
      <c r="J37">
        <v>5701.91</v>
      </c>
      <c r="K37">
        <v>720.94</v>
      </c>
    </row>
    <row r="38" spans="1:11" x14ac:dyDescent="0.3">
      <c r="A38" s="1">
        <v>45352</v>
      </c>
      <c r="B38">
        <v>2024</v>
      </c>
      <c r="C38">
        <v>3</v>
      </c>
      <c r="D38" t="s">
        <v>13</v>
      </c>
      <c r="E38" t="s">
        <v>25</v>
      </c>
      <c r="F38" t="s">
        <v>46</v>
      </c>
      <c r="G38" t="s">
        <v>49</v>
      </c>
      <c r="H38">
        <v>198</v>
      </c>
      <c r="I38">
        <v>15.971545280479511</v>
      </c>
      <c r="J38">
        <v>3162.37</v>
      </c>
      <c r="K38">
        <v>258.13</v>
      </c>
    </row>
    <row r="39" spans="1:11" x14ac:dyDescent="0.3">
      <c r="A39" s="1">
        <v>45352</v>
      </c>
      <c r="B39">
        <v>2024</v>
      </c>
      <c r="C39">
        <v>3</v>
      </c>
      <c r="D39" t="s">
        <v>13</v>
      </c>
      <c r="E39" t="s">
        <v>25</v>
      </c>
      <c r="F39" t="s">
        <v>46</v>
      </c>
      <c r="G39" t="s">
        <v>50</v>
      </c>
      <c r="H39">
        <v>115</v>
      </c>
      <c r="I39">
        <v>142.1480564209642</v>
      </c>
      <c r="J39">
        <v>16347.03</v>
      </c>
      <c r="K39">
        <v>3119.83</v>
      </c>
    </row>
    <row r="40" spans="1:11" x14ac:dyDescent="0.3">
      <c r="A40" s="1">
        <v>45352</v>
      </c>
      <c r="B40">
        <v>2024</v>
      </c>
      <c r="C40">
        <v>3</v>
      </c>
      <c r="D40" t="s">
        <v>13</v>
      </c>
      <c r="E40" t="s">
        <v>25</v>
      </c>
      <c r="F40" t="s">
        <v>46</v>
      </c>
      <c r="G40" t="s">
        <v>51</v>
      </c>
      <c r="H40">
        <v>426</v>
      </c>
      <c r="I40">
        <v>124.83930206278529</v>
      </c>
      <c r="J40">
        <v>53181.54</v>
      </c>
      <c r="K40">
        <v>5936.55</v>
      </c>
    </row>
    <row r="41" spans="1:11" x14ac:dyDescent="0.3">
      <c r="A41" s="1">
        <v>45352</v>
      </c>
      <c r="B41">
        <v>2024</v>
      </c>
      <c r="C41">
        <v>3</v>
      </c>
      <c r="D41" t="s">
        <v>13</v>
      </c>
      <c r="E41" t="s">
        <v>25</v>
      </c>
      <c r="F41" t="s">
        <v>46</v>
      </c>
      <c r="G41" t="s">
        <v>52</v>
      </c>
      <c r="H41">
        <v>32</v>
      </c>
      <c r="I41">
        <v>24.626182867470671</v>
      </c>
      <c r="J41">
        <v>788.04</v>
      </c>
      <c r="K41">
        <v>73.92</v>
      </c>
    </row>
    <row r="42" spans="1:11" x14ac:dyDescent="0.3">
      <c r="A42" s="1">
        <v>45352</v>
      </c>
      <c r="B42">
        <v>2024</v>
      </c>
      <c r="C42">
        <v>3</v>
      </c>
      <c r="D42" t="s">
        <v>13</v>
      </c>
      <c r="E42" t="s">
        <v>25</v>
      </c>
      <c r="F42" t="s">
        <v>47</v>
      </c>
      <c r="G42" t="s">
        <v>49</v>
      </c>
      <c r="H42">
        <v>206</v>
      </c>
      <c r="I42">
        <v>142.00913727754391</v>
      </c>
      <c r="J42">
        <v>29253.88</v>
      </c>
      <c r="K42">
        <v>4267.01</v>
      </c>
    </row>
    <row r="43" spans="1:11" x14ac:dyDescent="0.3">
      <c r="A43" s="1">
        <v>45352</v>
      </c>
      <c r="B43">
        <v>2024</v>
      </c>
      <c r="C43">
        <v>3</v>
      </c>
      <c r="D43" t="s">
        <v>13</v>
      </c>
      <c r="E43" t="s">
        <v>25</v>
      </c>
      <c r="F43" t="s">
        <v>47</v>
      </c>
      <c r="G43" t="s">
        <v>50</v>
      </c>
      <c r="H43">
        <v>81</v>
      </c>
      <c r="I43">
        <v>130.34671373698049</v>
      </c>
      <c r="J43">
        <v>10558.08</v>
      </c>
      <c r="K43">
        <v>2300.9499999999998</v>
      </c>
    </row>
    <row r="44" spans="1:11" x14ac:dyDescent="0.3">
      <c r="A44" s="1">
        <v>45352</v>
      </c>
      <c r="B44">
        <v>2024</v>
      </c>
      <c r="C44">
        <v>3</v>
      </c>
      <c r="D44" t="s">
        <v>13</v>
      </c>
      <c r="E44" t="s">
        <v>25</v>
      </c>
      <c r="F44" t="s">
        <v>47</v>
      </c>
      <c r="G44" t="s">
        <v>51</v>
      </c>
      <c r="H44">
        <v>153</v>
      </c>
      <c r="I44">
        <v>96.741568391752949</v>
      </c>
      <c r="J44">
        <v>14801.46</v>
      </c>
      <c r="K44">
        <v>2393.4699999999998</v>
      </c>
    </row>
    <row r="45" spans="1:11" x14ac:dyDescent="0.3">
      <c r="A45" s="1">
        <v>45352</v>
      </c>
      <c r="B45">
        <v>2024</v>
      </c>
      <c r="C45">
        <v>3</v>
      </c>
      <c r="D45" t="s">
        <v>13</v>
      </c>
      <c r="E45" t="s">
        <v>25</v>
      </c>
      <c r="F45" t="s">
        <v>47</v>
      </c>
      <c r="G45" t="s">
        <v>52</v>
      </c>
      <c r="H45">
        <v>465</v>
      </c>
      <c r="I45">
        <v>112.47502596397359</v>
      </c>
      <c r="J45">
        <v>52300.89</v>
      </c>
      <c r="K45">
        <v>4813</v>
      </c>
    </row>
    <row r="46" spans="1:11" x14ac:dyDescent="0.3">
      <c r="A46" s="1">
        <v>45352</v>
      </c>
      <c r="B46">
        <v>2024</v>
      </c>
      <c r="C46">
        <v>3</v>
      </c>
      <c r="D46" t="s">
        <v>13</v>
      </c>
      <c r="E46" t="s">
        <v>25</v>
      </c>
      <c r="F46" t="s">
        <v>48</v>
      </c>
      <c r="G46" t="s">
        <v>49</v>
      </c>
      <c r="H46">
        <v>367</v>
      </c>
      <c r="I46">
        <v>77.696589234625236</v>
      </c>
      <c r="J46">
        <v>28514.65</v>
      </c>
      <c r="K46">
        <v>3131.94</v>
      </c>
    </row>
    <row r="47" spans="1:11" x14ac:dyDescent="0.3">
      <c r="A47" s="1">
        <v>45352</v>
      </c>
      <c r="B47">
        <v>2024</v>
      </c>
      <c r="C47">
        <v>3</v>
      </c>
      <c r="D47" t="s">
        <v>13</v>
      </c>
      <c r="E47" t="s">
        <v>25</v>
      </c>
      <c r="F47" t="s">
        <v>48</v>
      </c>
      <c r="G47" t="s">
        <v>50</v>
      </c>
      <c r="H47">
        <v>302</v>
      </c>
      <c r="I47">
        <v>91.150479838988701</v>
      </c>
      <c r="J47">
        <v>27527.439999999999</v>
      </c>
      <c r="K47">
        <v>5071.08</v>
      </c>
    </row>
    <row r="48" spans="1:11" x14ac:dyDescent="0.3">
      <c r="A48" s="1">
        <v>45352</v>
      </c>
      <c r="B48">
        <v>2024</v>
      </c>
      <c r="C48">
        <v>3</v>
      </c>
      <c r="D48" t="s">
        <v>13</v>
      </c>
      <c r="E48" t="s">
        <v>25</v>
      </c>
      <c r="F48" t="s">
        <v>48</v>
      </c>
      <c r="G48" t="s">
        <v>51</v>
      </c>
      <c r="H48">
        <v>135</v>
      </c>
      <c r="I48">
        <v>76.988082703492111</v>
      </c>
      <c r="J48">
        <v>10393.39</v>
      </c>
      <c r="K48">
        <v>1326.13</v>
      </c>
    </row>
    <row r="49" spans="1:11" x14ac:dyDescent="0.3">
      <c r="A49" s="1">
        <v>45352</v>
      </c>
      <c r="B49">
        <v>2024</v>
      </c>
      <c r="C49">
        <v>3</v>
      </c>
      <c r="D49" t="s">
        <v>13</v>
      </c>
      <c r="E49" t="s">
        <v>25</v>
      </c>
      <c r="F49" t="s">
        <v>48</v>
      </c>
      <c r="G49" t="s">
        <v>52</v>
      </c>
      <c r="H49">
        <v>430</v>
      </c>
      <c r="I49">
        <v>89.308090598268009</v>
      </c>
      <c r="J49">
        <v>38402.480000000003</v>
      </c>
      <c r="K49">
        <v>3259.11</v>
      </c>
    </row>
    <row r="50" spans="1:11" x14ac:dyDescent="0.3">
      <c r="A50" s="1">
        <v>45383</v>
      </c>
      <c r="B50">
        <v>2024</v>
      </c>
      <c r="C50">
        <v>4</v>
      </c>
      <c r="D50" t="s">
        <v>14</v>
      </c>
      <c r="E50" t="s">
        <v>26</v>
      </c>
      <c r="F50" t="s">
        <v>45</v>
      </c>
      <c r="G50" t="s">
        <v>49</v>
      </c>
      <c r="H50">
        <v>184</v>
      </c>
      <c r="I50">
        <v>141.56284624915139</v>
      </c>
      <c r="J50">
        <v>26047.56</v>
      </c>
      <c r="K50">
        <v>2913.69</v>
      </c>
    </row>
    <row r="51" spans="1:11" x14ac:dyDescent="0.3">
      <c r="A51" s="1">
        <v>45383</v>
      </c>
      <c r="B51">
        <v>2024</v>
      </c>
      <c r="C51">
        <v>4</v>
      </c>
      <c r="D51" t="s">
        <v>14</v>
      </c>
      <c r="E51" t="s">
        <v>26</v>
      </c>
      <c r="F51" t="s">
        <v>45</v>
      </c>
      <c r="G51" t="s">
        <v>50</v>
      </c>
      <c r="H51">
        <v>334</v>
      </c>
      <c r="I51">
        <v>71.408557083943492</v>
      </c>
      <c r="J51">
        <v>23850.46</v>
      </c>
      <c r="K51">
        <v>4141.7</v>
      </c>
    </row>
    <row r="52" spans="1:11" x14ac:dyDescent="0.3">
      <c r="A52" s="1">
        <v>45383</v>
      </c>
      <c r="B52">
        <v>2024</v>
      </c>
      <c r="C52">
        <v>4</v>
      </c>
      <c r="D52" t="s">
        <v>14</v>
      </c>
      <c r="E52" t="s">
        <v>26</v>
      </c>
      <c r="F52" t="s">
        <v>45</v>
      </c>
      <c r="G52" t="s">
        <v>51</v>
      </c>
      <c r="H52">
        <v>115</v>
      </c>
      <c r="I52">
        <v>116.0393803832948</v>
      </c>
      <c r="J52">
        <v>13344.53</v>
      </c>
      <c r="K52">
        <v>1958.25</v>
      </c>
    </row>
    <row r="53" spans="1:11" x14ac:dyDescent="0.3">
      <c r="A53" s="1">
        <v>45383</v>
      </c>
      <c r="B53">
        <v>2024</v>
      </c>
      <c r="C53">
        <v>4</v>
      </c>
      <c r="D53" t="s">
        <v>14</v>
      </c>
      <c r="E53" t="s">
        <v>26</v>
      </c>
      <c r="F53" t="s">
        <v>45</v>
      </c>
      <c r="G53" t="s">
        <v>52</v>
      </c>
      <c r="H53">
        <v>461</v>
      </c>
      <c r="I53">
        <v>192.86498603900111</v>
      </c>
      <c r="J53">
        <v>88910.76</v>
      </c>
      <c r="K53">
        <v>9519.7199999999993</v>
      </c>
    </row>
    <row r="54" spans="1:11" x14ac:dyDescent="0.3">
      <c r="A54" s="1">
        <v>45383</v>
      </c>
      <c r="B54">
        <v>2024</v>
      </c>
      <c r="C54">
        <v>4</v>
      </c>
      <c r="D54" t="s">
        <v>14</v>
      </c>
      <c r="E54" t="s">
        <v>26</v>
      </c>
      <c r="F54" t="s">
        <v>46</v>
      </c>
      <c r="G54" t="s">
        <v>49</v>
      </c>
      <c r="H54">
        <v>314</v>
      </c>
      <c r="I54">
        <v>104.4772161195532</v>
      </c>
      <c r="J54">
        <v>32805.85</v>
      </c>
      <c r="K54">
        <v>2904.94</v>
      </c>
    </row>
    <row r="55" spans="1:11" x14ac:dyDescent="0.3">
      <c r="A55" s="1">
        <v>45383</v>
      </c>
      <c r="B55">
        <v>2024</v>
      </c>
      <c r="C55">
        <v>4</v>
      </c>
      <c r="D55" t="s">
        <v>14</v>
      </c>
      <c r="E55" t="s">
        <v>26</v>
      </c>
      <c r="F55" t="s">
        <v>46</v>
      </c>
      <c r="G55" t="s">
        <v>50</v>
      </c>
      <c r="H55">
        <v>100</v>
      </c>
      <c r="I55">
        <v>60.68839271230415</v>
      </c>
      <c r="J55">
        <v>6068.84</v>
      </c>
      <c r="K55">
        <v>911.23</v>
      </c>
    </row>
    <row r="56" spans="1:11" x14ac:dyDescent="0.3">
      <c r="A56" s="1">
        <v>45383</v>
      </c>
      <c r="B56">
        <v>2024</v>
      </c>
      <c r="C56">
        <v>4</v>
      </c>
      <c r="D56" t="s">
        <v>14</v>
      </c>
      <c r="E56" t="s">
        <v>26</v>
      </c>
      <c r="F56" t="s">
        <v>46</v>
      </c>
      <c r="G56" t="s">
        <v>51</v>
      </c>
      <c r="H56">
        <v>21</v>
      </c>
      <c r="I56">
        <v>105.5090144134837</v>
      </c>
      <c r="J56">
        <v>2215.69</v>
      </c>
      <c r="K56">
        <v>301.67</v>
      </c>
    </row>
    <row r="57" spans="1:11" x14ac:dyDescent="0.3">
      <c r="A57" s="1">
        <v>45383</v>
      </c>
      <c r="B57">
        <v>2024</v>
      </c>
      <c r="C57">
        <v>4</v>
      </c>
      <c r="D57" t="s">
        <v>14</v>
      </c>
      <c r="E57" t="s">
        <v>26</v>
      </c>
      <c r="F57" t="s">
        <v>46</v>
      </c>
      <c r="G57" t="s">
        <v>52</v>
      </c>
      <c r="H57">
        <v>149</v>
      </c>
      <c r="I57">
        <v>110.87757083025591</v>
      </c>
      <c r="J57">
        <v>16520.759999999998</v>
      </c>
      <c r="K57">
        <v>1586.5</v>
      </c>
    </row>
    <row r="58" spans="1:11" x14ac:dyDescent="0.3">
      <c r="A58" s="1">
        <v>45383</v>
      </c>
      <c r="B58">
        <v>2024</v>
      </c>
      <c r="C58">
        <v>4</v>
      </c>
      <c r="D58" t="s">
        <v>14</v>
      </c>
      <c r="E58" t="s">
        <v>26</v>
      </c>
      <c r="F58" t="s">
        <v>47</v>
      </c>
      <c r="G58" t="s">
        <v>49</v>
      </c>
      <c r="H58">
        <v>237</v>
      </c>
      <c r="I58">
        <v>197.2735862810141</v>
      </c>
      <c r="J58">
        <v>46753.84</v>
      </c>
      <c r="K58">
        <v>7263.02</v>
      </c>
    </row>
    <row r="59" spans="1:11" x14ac:dyDescent="0.3">
      <c r="A59" s="1">
        <v>45383</v>
      </c>
      <c r="B59">
        <v>2024</v>
      </c>
      <c r="C59">
        <v>4</v>
      </c>
      <c r="D59" t="s">
        <v>14</v>
      </c>
      <c r="E59" t="s">
        <v>26</v>
      </c>
      <c r="F59" t="s">
        <v>47</v>
      </c>
      <c r="G59" t="s">
        <v>50</v>
      </c>
      <c r="H59">
        <v>222</v>
      </c>
      <c r="I59">
        <v>80.23434665166684</v>
      </c>
      <c r="J59">
        <v>17812.02</v>
      </c>
      <c r="K59">
        <v>3152.8</v>
      </c>
    </row>
    <row r="60" spans="1:11" x14ac:dyDescent="0.3">
      <c r="A60" s="1">
        <v>45383</v>
      </c>
      <c r="B60">
        <v>2024</v>
      </c>
      <c r="C60">
        <v>4</v>
      </c>
      <c r="D60" t="s">
        <v>14</v>
      </c>
      <c r="E60" t="s">
        <v>26</v>
      </c>
      <c r="F60" t="s">
        <v>47</v>
      </c>
      <c r="G60" t="s">
        <v>51</v>
      </c>
      <c r="H60">
        <v>420</v>
      </c>
      <c r="I60">
        <v>148.36110623625331</v>
      </c>
      <c r="J60">
        <v>62311.66</v>
      </c>
      <c r="K60">
        <v>12341.19</v>
      </c>
    </row>
    <row r="61" spans="1:11" x14ac:dyDescent="0.3">
      <c r="A61" s="1">
        <v>45383</v>
      </c>
      <c r="B61">
        <v>2024</v>
      </c>
      <c r="C61">
        <v>4</v>
      </c>
      <c r="D61" t="s">
        <v>14</v>
      </c>
      <c r="E61" t="s">
        <v>26</v>
      </c>
      <c r="F61" t="s">
        <v>47</v>
      </c>
      <c r="G61" t="s">
        <v>52</v>
      </c>
      <c r="H61">
        <v>217</v>
      </c>
      <c r="I61">
        <v>85.776644064465088</v>
      </c>
      <c r="J61">
        <v>18613.53</v>
      </c>
      <c r="K61">
        <v>1711.76</v>
      </c>
    </row>
    <row r="62" spans="1:11" x14ac:dyDescent="0.3">
      <c r="A62" s="1">
        <v>45383</v>
      </c>
      <c r="B62">
        <v>2024</v>
      </c>
      <c r="C62">
        <v>4</v>
      </c>
      <c r="D62" t="s">
        <v>14</v>
      </c>
      <c r="E62" t="s">
        <v>26</v>
      </c>
      <c r="F62" t="s">
        <v>48</v>
      </c>
      <c r="G62" t="s">
        <v>49</v>
      </c>
      <c r="H62">
        <v>259</v>
      </c>
      <c r="I62">
        <v>161.68557374706469</v>
      </c>
      <c r="J62">
        <v>41876.559999999998</v>
      </c>
      <c r="K62">
        <v>4839.34</v>
      </c>
    </row>
    <row r="63" spans="1:11" x14ac:dyDescent="0.3">
      <c r="A63" s="1">
        <v>45383</v>
      </c>
      <c r="B63">
        <v>2024</v>
      </c>
      <c r="C63">
        <v>4</v>
      </c>
      <c r="D63" t="s">
        <v>14</v>
      </c>
      <c r="E63" t="s">
        <v>26</v>
      </c>
      <c r="F63" t="s">
        <v>48</v>
      </c>
      <c r="G63" t="s">
        <v>50</v>
      </c>
      <c r="H63">
        <v>483</v>
      </c>
      <c r="I63">
        <v>17.74727689540514</v>
      </c>
      <c r="J63">
        <v>8571.93</v>
      </c>
      <c r="K63">
        <v>1294.8599999999999</v>
      </c>
    </row>
    <row r="64" spans="1:11" x14ac:dyDescent="0.3">
      <c r="A64" s="1">
        <v>45383</v>
      </c>
      <c r="B64">
        <v>2024</v>
      </c>
      <c r="C64">
        <v>4</v>
      </c>
      <c r="D64" t="s">
        <v>14</v>
      </c>
      <c r="E64" t="s">
        <v>26</v>
      </c>
      <c r="F64" t="s">
        <v>48</v>
      </c>
      <c r="G64" t="s">
        <v>51</v>
      </c>
      <c r="H64">
        <v>167</v>
      </c>
      <c r="I64">
        <v>71.932191988358113</v>
      </c>
      <c r="J64">
        <v>12012.68</v>
      </c>
      <c r="K64">
        <v>1914.37</v>
      </c>
    </row>
    <row r="65" spans="1:11" x14ac:dyDescent="0.3">
      <c r="A65" s="1">
        <v>45383</v>
      </c>
      <c r="B65">
        <v>2024</v>
      </c>
      <c r="C65">
        <v>4</v>
      </c>
      <c r="D65" t="s">
        <v>14</v>
      </c>
      <c r="E65" t="s">
        <v>26</v>
      </c>
      <c r="F65" t="s">
        <v>48</v>
      </c>
      <c r="G65" t="s">
        <v>52</v>
      </c>
      <c r="H65">
        <v>166</v>
      </c>
      <c r="I65">
        <v>76.246537585428584</v>
      </c>
      <c r="J65">
        <v>12656.93</v>
      </c>
      <c r="K65">
        <v>961.55</v>
      </c>
    </row>
    <row r="66" spans="1:11" x14ac:dyDescent="0.3">
      <c r="A66" s="1">
        <v>45413</v>
      </c>
      <c r="B66">
        <v>2024</v>
      </c>
      <c r="C66">
        <v>5</v>
      </c>
      <c r="D66" t="s">
        <v>15</v>
      </c>
      <c r="E66" t="s">
        <v>27</v>
      </c>
      <c r="F66" t="s">
        <v>45</v>
      </c>
      <c r="G66" t="s">
        <v>49</v>
      </c>
      <c r="H66">
        <v>218</v>
      </c>
      <c r="I66">
        <v>43.129621510948382</v>
      </c>
      <c r="J66">
        <v>9402.26</v>
      </c>
      <c r="K66">
        <v>1049.4000000000001</v>
      </c>
    </row>
    <row r="67" spans="1:11" x14ac:dyDescent="0.3">
      <c r="A67" s="1">
        <v>45413</v>
      </c>
      <c r="B67">
        <v>2024</v>
      </c>
      <c r="C67">
        <v>5</v>
      </c>
      <c r="D67" t="s">
        <v>15</v>
      </c>
      <c r="E67" t="s">
        <v>27</v>
      </c>
      <c r="F67" t="s">
        <v>45</v>
      </c>
      <c r="G67" t="s">
        <v>50</v>
      </c>
      <c r="H67">
        <v>357</v>
      </c>
      <c r="I67">
        <v>169.16492012239229</v>
      </c>
      <c r="J67">
        <v>60391.88</v>
      </c>
      <c r="K67">
        <v>13346.53</v>
      </c>
    </row>
    <row r="68" spans="1:11" x14ac:dyDescent="0.3">
      <c r="A68" s="1">
        <v>45413</v>
      </c>
      <c r="B68">
        <v>2024</v>
      </c>
      <c r="C68">
        <v>5</v>
      </c>
      <c r="D68" t="s">
        <v>15</v>
      </c>
      <c r="E68" t="s">
        <v>27</v>
      </c>
      <c r="F68" t="s">
        <v>45</v>
      </c>
      <c r="G68" t="s">
        <v>51</v>
      </c>
      <c r="H68">
        <v>286</v>
      </c>
      <c r="I68">
        <v>74.802606699549116</v>
      </c>
      <c r="J68">
        <v>21393.55</v>
      </c>
      <c r="K68">
        <v>3270.33</v>
      </c>
    </row>
    <row r="69" spans="1:11" x14ac:dyDescent="0.3">
      <c r="A69" s="1">
        <v>45413</v>
      </c>
      <c r="B69">
        <v>2024</v>
      </c>
      <c r="C69">
        <v>5</v>
      </c>
      <c r="D69" t="s">
        <v>15</v>
      </c>
      <c r="E69" t="s">
        <v>27</v>
      </c>
      <c r="F69" t="s">
        <v>45</v>
      </c>
      <c r="G69" t="s">
        <v>52</v>
      </c>
      <c r="H69">
        <v>271</v>
      </c>
      <c r="I69">
        <v>43.241436148227884</v>
      </c>
      <c r="J69">
        <v>11718.43</v>
      </c>
      <c r="K69">
        <v>1419.36</v>
      </c>
    </row>
    <row r="70" spans="1:11" x14ac:dyDescent="0.3">
      <c r="A70" s="1">
        <v>45413</v>
      </c>
      <c r="B70">
        <v>2024</v>
      </c>
      <c r="C70">
        <v>5</v>
      </c>
      <c r="D70" t="s">
        <v>15</v>
      </c>
      <c r="E70" t="s">
        <v>27</v>
      </c>
      <c r="F70" t="s">
        <v>46</v>
      </c>
      <c r="G70" t="s">
        <v>49</v>
      </c>
      <c r="H70">
        <v>131</v>
      </c>
      <c r="I70">
        <v>115.48815420389781</v>
      </c>
      <c r="J70">
        <v>15128.95</v>
      </c>
      <c r="K70">
        <v>1177.79</v>
      </c>
    </row>
    <row r="71" spans="1:11" x14ac:dyDescent="0.3">
      <c r="A71" s="1">
        <v>45413</v>
      </c>
      <c r="B71">
        <v>2024</v>
      </c>
      <c r="C71">
        <v>5</v>
      </c>
      <c r="D71" t="s">
        <v>15</v>
      </c>
      <c r="E71" t="s">
        <v>27</v>
      </c>
      <c r="F71" t="s">
        <v>46</v>
      </c>
      <c r="G71" t="s">
        <v>50</v>
      </c>
      <c r="H71">
        <v>323</v>
      </c>
      <c r="I71">
        <v>193.42967674487079</v>
      </c>
      <c r="J71">
        <v>62477.79</v>
      </c>
      <c r="K71">
        <v>10851.93</v>
      </c>
    </row>
    <row r="72" spans="1:11" x14ac:dyDescent="0.3">
      <c r="A72" s="1">
        <v>45413</v>
      </c>
      <c r="B72">
        <v>2024</v>
      </c>
      <c r="C72">
        <v>5</v>
      </c>
      <c r="D72" t="s">
        <v>15</v>
      </c>
      <c r="E72" t="s">
        <v>27</v>
      </c>
      <c r="F72" t="s">
        <v>46</v>
      </c>
      <c r="G72" t="s">
        <v>51</v>
      </c>
      <c r="H72">
        <v>472</v>
      </c>
      <c r="I72">
        <v>181.07943086103279</v>
      </c>
      <c r="J72">
        <v>85469.49</v>
      </c>
      <c r="K72">
        <v>9504.14</v>
      </c>
    </row>
    <row r="73" spans="1:11" x14ac:dyDescent="0.3">
      <c r="A73" s="1">
        <v>45413</v>
      </c>
      <c r="B73">
        <v>2024</v>
      </c>
      <c r="C73">
        <v>5</v>
      </c>
      <c r="D73" t="s">
        <v>15</v>
      </c>
      <c r="E73" t="s">
        <v>27</v>
      </c>
      <c r="F73" t="s">
        <v>46</v>
      </c>
      <c r="G73" t="s">
        <v>52</v>
      </c>
      <c r="H73">
        <v>118</v>
      </c>
      <c r="I73">
        <v>143.06798769482651</v>
      </c>
      <c r="J73">
        <v>16882.02</v>
      </c>
      <c r="K73">
        <v>1921.42</v>
      </c>
    </row>
    <row r="74" spans="1:11" x14ac:dyDescent="0.3">
      <c r="A74" s="1">
        <v>45413</v>
      </c>
      <c r="B74">
        <v>2024</v>
      </c>
      <c r="C74">
        <v>5</v>
      </c>
      <c r="D74" t="s">
        <v>15</v>
      </c>
      <c r="E74" t="s">
        <v>27</v>
      </c>
      <c r="F74" t="s">
        <v>47</v>
      </c>
      <c r="G74" t="s">
        <v>49</v>
      </c>
      <c r="H74">
        <v>227</v>
      </c>
      <c r="I74">
        <v>180.45094939098959</v>
      </c>
      <c r="J74">
        <v>40962.370000000003</v>
      </c>
      <c r="K74">
        <v>5939.95</v>
      </c>
    </row>
    <row r="75" spans="1:11" x14ac:dyDescent="0.3">
      <c r="A75" s="1">
        <v>45413</v>
      </c>
      <c r="B75">
        <v>2024</v>
      </c>
      <c r="C75">
        <v>5</v>
      </c>
      <c r="D75" t="s">
        <v>15</v>
      </c>
      <c r="E75" t="s">
        <v>27</v>
      </c>
      <c r="F75" t="s">
        <v>47</v>
      </c>
      <c r="G75" t="s">
        <v>50</v>
      </c>
      <c r="H75">
        <v>427</v>
      </c>
      <c r="I75">
        <v>171.67640526582741</v>
      </c>
      <c r="J75">
        <v>73305.83</v>
      </c>
      <c r="K75">
        <v>15169.1</v>
      </c>
    </row>
    <row r="76" spans="1:11" x14ac:dyDescent="0.3">
      <c r="A76" s="1">
        <v>45413</v>
      </c>
      <c r="B76">
        <v>2024</v>
      </c>
      <c r="C76">
        <v>5</v>
      </c>
      <c r="D76" t="s">
        <v>15</v>
      </c>
      <c r="E76" t="s">
        <v>27</v>
      </c>
      <c r="F76" t="s">
        <v>47</v>
      </c>
      <c r="G76" t="s">
        <v>51</v>
      </c>
      <c r="H76">
        <v>132</v>
      </c>
      <c r="I76">
        <v>40.709455677976621</v>
      </c>
      <c r="J76">
        <v>5373.65</v>
      </c>
      <c r="K76">
        <v>937.84</v>
      </c>
    </row>
    <row r="77" spans="1:11" x14ac:dyDescent="0.3">
      <c r="A77" s="1">
        <v>45413</v>
      </c>
      <c r="B77">
        <v>2024</v>
      </c>
      <c r="C77">
        <v>5</v>
      </c>
      <c r="D77" t="s">
        <v>15</v>
      </c>
      <c r="E77" t="s">
        <v>27</v>
      </c>
      <c r="F77" t="s">
        <v>47</v>
      </c>
      <c r="G77" t="s">
        <v>52</v>
      </c>
      <c r="H77">
        <v>246</v>
      </c>
      <c r="I77">
        <v>80.733725646731187</v>
      </c>
      <c r="J77">
        <v>19860.5</v>
      </c>
      <c r="K77">
        <v>2719.86</v>
      </c>
    </row>
    <row r="78" spans="1:11" x14ac:dyDescent="0.3">
      <c r="A78" s="1">
        <v>45413</v>
      </c>
      <c r="B78">
        <v>2024</v>
      </c>
      <c r="C78">
        <v>5</v>
      </c>
      <c r="D78" t="s">
        <v>15</v>
      </c>
      <c r="E78" t="s">
        <v>27</v>
      </c>
      <c r="F78" t="s">
        <v>48</v>
      </c>
      <c r="G78" t="s">
        <v>49</v>
      </c>
      <c r="H78">
        <v>492</v>
      </c>
      <c r="I78">
        <v>136.0653361305306</v>
      </c>
      <c r="J78">
        <v>66944.149999999994</v>
      </c>
      <c r="K78">
        <v>10196.629999999999</v>
      </c>
    </row>
    <row r="79" spans="1:11" x14ac:dyDescent="0.3">
      <c r="A79" s="1">
        <v>45413</v>
      </c>
      <c r="B79">
        <v>2024</v>
      </c>
      <c r="C79">
        <v>5</v>
      </c>
      <c r="D79" t="s">
        <v>15</v>
      </c>
      <c r="E79" t="s">
        <v>27</v>
      </c>
      <c r="F79" t="s">
        <v>48</v>
      </c>
      <c r="G79" t="s">
        <v>50</v>
      </c>
      <c r="H79">
        <v>227</v>
      </c>
      <c r="I79">
        <v>198.94691789605591</v>
      </c>
      <c r="J79">
        <v>45160.95</v>
      </c>
      <c r="K79">
        <v>8331.14</v>
      </c>
    </row>
    <row r="80" spans="1:11" x14ac:dyDescent="0.3">
      <c r="A80" s="1">
        <v>45413</v>
      </c>
      <c r="B80">
        <v>2024</v>
      </c>
      <c r="C80">
        <v>5</v>
      </c>
      <c r="D80" t="s">
        <v>15</v>
      </c>
      <c r="E80" t="s">
        <v>27</v>
      </c>
      <c r="F80" t="s">
        <v>48</v>
      </c>
      <c r="G80" t="s">
        <v>51</v>
      </c>
      <c r="H80">
        <v>180</v>
      </c>
      <c r="I80">
        <v>13.43431908694896</v>
      </c>
      <c r="J80">
        <v>2418.1799999999998</v>
      </c>
      <c r="K80">
        <v>286.31</v>
      </c>
    </row>
    <row r="81" spans="1:11" x14ac:dyDescent="0.3">
      <c r="A81" s="1">
        <v>45413</v>
      </c>
      <c r="B81">
        <v>2024</v>
      </c>
      <c r="C81">
        <v>5</v>
      </c>
      <c r="D81" t="s">
        <v>15</v>
      </c>
      <c r="E81" t="s">
        <v>27</v>
      </c>
      <c r="F81" t="s">
        <v>48</v>
      </c>
      <c r="G81" t="s">
        <v>52</v>
      </c>
      <c r="H81">
        <v>403</v>
      </c>
      <c r="I81">
        <v>151.39239938074681</v>
      </c>
      <c r="J81">
        <v>61011.14</v>
      </c>
      <c r="K81">
        <v>5765.2</v>
      </c>
    </row>
    <row r="82" spans="1:11" x14ac:dyDescent="0.3">
      <c r="A82" s="1">
        <v>45444</v>
      </c>
      <c r="B82">
        <v>2024</v>
      </c>
      <c r="C82">
        <v>6</v>
      </c>
      <c r="D82" t="s">
        <v>16</v>
      </c>
      <c r="E82" t="s">
        <v>28</v>
      </c>
      <c r="F82" t="s">
        <v>45</v>
      </c>
      <c r="G82" t="s">
        <v>49</v>
      </c>
      <c r="H82">
        <v>214</v>
      </c>
      <c r="I82">
        <v>134.94644953706521</v>
      </c>
      <c r="J82">
        <v>28878.54</v>
      </c>
      <c r="K82">
        <v>3253.09</v>
      </c>
    </row>
    <row r="83" spans="1:11" x14ac:dyDescent="0.3">
      <c r="A83" s="1">
        <v>45444</v>
      </c>
      <c r="B83">
        <v>2024</v>
      </c>
      <c r="C83">
        <v>6</v>
      </c>
      <c r="D83" t="s">
        <v>16</v>
      </c>
      <c r="E83" t="s">
        <v>28</v>
      </c>
      <c r="F83" t="s">
        <v>45</v>
      </c>
      <c r="G83" t="s">
        <v>50</v>
      </c>
      <c r="H83">
        <v>390</v>
      </c>
      <c r="I83">
        <v>130.90319745532011</v>
      </c>
      <c r="J83">
        <v>51052.25</v>
      </c>
      <c r="K83">
        <v>9848.86</v>
      </c>
    </row>
    <row r="84" spans="1:11" x14ac:dyDescent="0.3">
      <c r="A84" s="1">
        <v>45444</v>
      </c>
      <c r="B84">
        <v>2024</v>
      </c>
      <c r="C84">
        <v>6</v>
      </c>
      <c r="D84" t="s">
        <v>16</v>
      </c>
      <c r="E84" t="s">
        <v>28</v>
      </c>
      <c r="F84" t="s">
        <v>45</v>
      </c>
      <c r="G84" t="s">
        <v>51</v>
      </c>
      <c r="H84">
        <v>41</v>
      </c>
      <c r="I84">
        <v>56.358032242025878</v>
      </c>
      <c r="J84">
        <v>2310.6799999999998</v>
      </c>
      <c r="K84">
        <v>366.15</v>
      </c>
    </row>
    <row r="85" spans="1:11" x14ac:dyDescent="0.3">
      <c r="A85" s="1">
        <v>45444</v>
      </c>
      <c r="B85">
        <v>2024</v>
      </c>
      <c r="C85">
        <v>6</v>
      </c>
      <c r="D85" t="s">
        <v>16</v>
      </c>
      <c r="E85" t="s">
        <v>28</v>
      </c>
      <c r="F85" t="s">
        <v>45</v>
      </c>
      <c r="G85" t="s">
        <v>52</v>
      </c>
      <c r="H85">
        <v>457</v>
      </c>
      <c r="I85">
        <v>182.1587696665253</v>
      </c>
      <c r="J85">
        <v>83246.559999999998</v>
      </c>
      <c r="K85">
        <v>9725.1200000000008</v>
      </c>
    </row>
    <row r="86" spans="1:11" x14ac:dyDescent="0.3">
      <c r="A86" s="1">
        <v>45444</v>
      </c>
      <c r="B86">
        <v>2024</v>
      </c>
      <c r="C86">
        <v>6</v>
      </c>
      <c r="D86" t="s">
        <v>16</v>
      </c>
      <c r="E86" t="s">
        <v>28</v>
      </c>
      <c r="F86" t="s">
        <v>46</v>
      </c>
      <c r="G86" t="s">
        <v>49</v>
      </c>
      <c r="H86">
        <v>46</v>
      </c>
      <c r="I86">
        <v>161.0141476729132</v>
      </c>
      <c r="J86">
        <v>7406.65</v>
      </c>
      <c r="K86">
        <v>1219.79</v>
      </c>
    </row>
    <row r="87" spans="1:11" x14ac:dyDescent="0.3">
      <c r="A87" s="1">
        <v>45444</v>
      </c>
      <c r="B87">
        <v>2024</v>
      </c>
      <c r="C87">
        <v>6</v>
      </c>
      <c r="D87" t="s">
        <v>16</v>
      </c>
      <c r="E87" t="s">
        <v>28</v>
      </c>
      <c r="F87" t="s">
        <v>46</v>
      </c>
      <c r="G87" t="s">
        <v>50</v>
      </c>
      <c r="H87">
        <v>467</v>
      </c>
      <c r="I87">
        <v>174.19183736366159</v>
      </c>
      <c r="J87">
        <v>81347.59</v>
      </c>
      <c r="K87">
        <v>13981.64</v>
      </c>
    </row>
    <row r="88" spans="1:11" x14ac:dyDescent="0.3">
      <c r="A88" s="1">
        <v>45444</v>
      </c>
      <c r="B88">
        <v>2024</v>
      </c>
      <c r="C88">
        <v>6</v>
      </c>
      <c r="D88" t="s">
        <v>16</v>
      </c>
      <c r="E88" t="s">
        <v>28</v>
      </c>
      <c r="F88" t="s">
        <v>46</v>
      </c>
      <c r="G88" t="s">
        <v>51</v>
      </c>
      <c r="H88">
        <v>336</v>
      </c>
      <c r="I88">
        <v>104.8467421781029</v>
      </c>
      <c r="J88">
        <v>35228.51</v>
      </c>
      <c r="K88">
        <v>5974.65</v>
      </c>
    </row>
    <row r="89" spans="1:11" x14ac:dyDescent="0.3">
      <c r="A89" s="1">
        <v>45444</v>
      </c>
      <c r="B89">
        <v>2024</v>
      </c>
      <c r="C89">
        <v>6</v>
      </c>
      <c r="D89" t="s">
        <v>16</v>
      </c>
      <c r="E89" t="s">
        <v>28</v>
      </c>
      <c r="F89" t="s">
        <v>46</v>
      </c>
      <c r="G89" t="s">
        <v>52</v>
      </c>
      <c r="H89">
        <v>36</v>
      </c>
      <c r="I89">
        <v>198.96459705149479</v>
      </c>
      <c r="J89">
        <v>7162.73</v>
      </c>
      <c r="K89">
        <v>701.49</v>
      </c>
    </row>
    <row r="90" spans="1:11" x14ac:dyDescent="0.3">
      <c r="A90" s="1">
        <v>45444</v>
      </c>
      <c r="B90">
        <v>2024</v>
      </c>
      <c r="C90">
        <v>6</v>
      </c>
      <c r="D90" t="s">
        <v>16</v>
      </c>
      <c r="E90" t="s">
        <v>28</v>
      </c>
      <c r="F90" t="s">
        <v>47</v>
      </c>
      <c r="G90" t="s">
        <v>49</v>
      </c>
      <c r="H90">
        <v>177</v>
      </c>
      <c r="I90">
        <v>191.2464296304916</v>
      </c>
      <c r="J90">
        <v>33850.620000000003</v>
      </c>
      <c r="K90">
        <v>4587.8</v>
      </c>
    </row>
    <row r="91" spans="1:11" x14ac:dyDescent="0.3">
      <c r="A91" s="1">
        <v>45444</v>
      </c>
      <c r="B91">
        <v>2024</v>
      </c>
      <c r="C91">
        <v>6</v>
      </c>
      <c r="D91" t="s">
        <v>16</v>
      </c>
      <c r="E91" t="s">
        <v>28</v>
      </c>
      <c r="F91" t="s">
        <v>47</v>
      </c>
      <c r="G91" t="s">
        <v>50</v>
      </c>
      <c r="H91">
        <v>252</v>
      </c>
      <c r="I91">
        <v>191.08365093455109</v>
      </c>
      <c r="J91">
        <v>48153.08</v>
      </c>
      <c r="K91">
        <v>10318.24</v>
      </c>
    </row>
    <row r="92" spans="1:11" x14ac:dyDescent="0.3">
      <c r="A92" s="1">
        <v>45444</v>
      </c>
      <c r="B92">
        <v>2024</v>
      </c>
      <c r="C92">
        <v>6</v>
      </c>
      <c r="D92" t="s">
        <v>16</v>
      </c>
      <c r="E92" t="s">
        <v>28</v>
      </c>
      <c r="F92" t="s">
        <v>47</v>
      </c>
      <c r="G92" t="s">
        <v>51</v>
      </c>
      <c r="H92">
        <v>368</v>
      </c>
      <c r="I92">
        <v>91.354988180289723</v>
      </c>
      <c r="J92">
        <v>33618.639999999999</v>
      </c>
      <c r="K92">
        <v>5410.95</v>
      </c>
    </row>
    <row r="93" spans="1:11" x14ac:dyDescent="0.3">
      <c r="A93" s="1">
        <v>45444</v>
      </c>
      <c r="B93">
        <v>2024</v>
      </c>
      <c r="C93">
        <v>6</v>
      </c>
      <c r="D93" t="s">
        <v>16</v>
      </c>
      <c r="E93" t="s">
        <v>28</v>
      </c>
      <c r="F93" t="s">
        <v>47</v>
      </c>
      <c r="G93" t="s">
        <v>52</v>
      </c>
      <c r="H93">
        <v>488</v>
      </c>
      <c r="I93">
        <v>46.273095918565737</v>
      </c>
      <c r="J93">
        <v>22581.27</v>
      </c>
      <c r="K93">
        <v>3060.69</v>
      </c>
    </row>
    <row r="94" spans="1:11" x14ac:dyDescent="0.3">
      <c r="A94" s="1">
        <v>45444</v>
      </c>
      <c r="B94">
        <v>2024</v>
      </c>
      <c r="C94">
        <v>6</v>
      </c>
      <c r="D94" t="s">
        <v>16</v>
      </c>
      <c r="E94" t="s">
        <v>28</v>
      </c>
      <c r="F94" t="s">
        <v>48</v>
      </c>
      <c r="G94" t="s">
        <v>49</v>
      </c>
      <c r="H94">
        <v>180</v>
      </c>
      <c r="I94">
        <v>70.215180979692747</v>
      </c>
      <c r="J94">
        <v>12638.73</v>
      </c>
      <c r="K94">
        <v>1507.57</v>
      </c>
    </row>
    <row r="95" spans="1:11" x14ac:dyDescent="0.3">
      <c r="A95" s="1">
        <v>45444</v>
      </c>
      <c r="B95">
        <v>2024</v>
      </c>
      <c r="C95">
        <v>6</v>
      </c>
      <c r="D95" t="s">
        <v>16</v>
      </c>
      <c r="E95" t="s">
        <v>28</v>
      </c>
      <c r="F95" t="s">
        <v>48</v>
      </c>
      <c r="G95" t="s">
        <v>50</v>
      </c>
      <c r="H95">
        <v>242</v>
      </c>
      <c r="I95">
        <v>170.40049673799919</v>
      </c>
      <c r="J95">
        <v>41236.92</v>
      </c>
      <c r="K95">
        <v>6189.05</v>
      </c>
    </row>
    <row r="96" spans="1:11" x14ac:dyDescent="0.3">
      <c r="A96" s="1">
        <v>45444</v>
      </c>
      <c r="B96">
        <v>2024</v>
      </c>
      <c r="C96">
        <v>6</v>
      </c>
      <c r="D96" t="s">
        <v>16</v>
      </c>
      <c r="E96" t="s">
        <v>28</v>
      </c>
      <c r="F96" t="s">
        <v>48</v>
      </c>
      <c r="G96" t="s">
        <v>51</v>
      </c>
      <c r="H96">
        <v>342</v>
      </c>
      <c r="I96">
        <v>118.3116223169793</v>
      </c>
      <c r="J96">
        <v>40462.57</v>
      </c>
      <c r="K96">
        <v>6053.97</v>
      </c>
    </row>
    <row r="97" spans="1:11" x14ac:dyDescent="0.3">
      <c r="A97" s="1">
        <v>45444</v>
      </c>
      <c r="B97">
        <v>2024</v>
      </c>
      <c r="C97">
        <v>6</v>
      </c>
      <c r="D97" t="s">
        <v>16</v>
      </c>
      <c r="E97" t="s">
        <v>28</v>
      </c>
      <c r="F97" t="s">
        <v>48</v>
      </c>
      <c r="G97" t="s">
        <v>52</v>
      </c>
      <c r="H97">
        <v>361</v>
      </c>
      <c r="I97">
        <v>78.142888446271144</v>
      </c>
      <c r="J97">
        <v>28209.58</v>
      </c>
      <c r="K97">
        <v>2223.5100000000002</v>
      </c>
    </row>
    <row r="98" spans="1:11" x14ac:dyDescent="0.3">
      <c r="A98" s="1">
        <v>45474</v>
      </c>
      <c r="B98">
        <v>2024</v>
      </c>
      <c r="C98">
        <v>7</v>
      </c>
      <c r="D98" t="s">
        <v>17</v>
      </c>
      <c r="E98" t="s">
        <v>29</v>
      </c>
      <c r="F98" t="s">
        <v>45</v>
      </c>
      <c r="G98" t="s">
        <v>49</v>
      </c>
      <c r="H98">
        <v>146</v>
      </c>
      <c r="I98">
        <v>108.48263394911</v>
      </c>
      <c r="J98">
        <v>15838.46</v>
      </c>
      <c r="K98">
        <v>2172.34</v>
      </c>
    </row>
    <row r="99" spans="1:11" x14ac:dyDescent="0.3">
      <c r="A99" s="1">
        <v>45474</v>
      </c>
      <c r="B99">
        <v>2024</v>
      </c>
      <c r="C99">
        <v>7</v>
      </c>
      <c r="D99" t="s">
        <v>17</v>
      </c>
      <c r="E99" t="s">
        <v>29</v>
      </c>
      <c r="F99" t="s">
        <v>45</v>
      </c>
      <c r="G99" t="s">
        <v>50</v>
      </c>
      <c r="H99">
        <v>436</v>
      </c>
      <c r="I99">
        <v>35.958052973985467</v>
      </c>
      <c r="J99">
        <v>15677.71</v>
      </c>
      <c r="K99">
        <v>3154.6</v>
      </c>
    </row>
    <row r="100" spans="1:11" x14ac:dyDescent="0.3">
      <c r="A100" s="1">
        <v>45474</v>
      </c>
      <c r="B100">
        <v>2024</v>
      </c>
      <c r="C100">
        <v>7</v>
      </c>
      <c r="D100" t="s">
        <v>17</v>
      </c>
      <c r="E100" t="s">
        <v>29</v>
      </c>
      <c r="F100" t="s">
        <v>45</v>
      </c>
      <c r="G100" t="s">
        <v>51</v>
      </c>
      <c r="H100">
        <v>265</v>
      </c>
      <c r="I100">
        <v>78.303318731753478</v>
      </c>
      <c r="J100">
        <v>20750.38</v>
      </c>
      <c r="K100">
        <v>3695.69</v>
      </c>
    </row>
    <row r="101" spans="1:11" x14ac:dyDescent="0.3">
      <c r="A101" s="1">
        <v>45474</v>
      </c>
      <c r="B101">
        <v>2024</v>
      </c>
      <c r="C101">
        <v>7</v>
      </c>
      <c r="D101" t="s">
        <v>17</v>
      </c>
      <c r="E101" t="s">
        <v>29</v>
      </c>
      <c r="F101" t="s">
        <v>45</v>
      </c>
      <c r="G101" t="s">
        <v>52</v>
      </c>
      <c r="H101">
        <v>374</v>
      </c>
      <c r="I101">
        <v>58.679319282947027</v>
      </c>
      <c r="J101">
        <v>21946.07</v>
      </c>
      <c r="K101">
        <v>2149</v>
      </c>
    </row>
    <row r="102" spans="1:11" x14ac:dyDescent="0.3">
      <c r="A102" s="1">
        <v>45474</v>
      </c>
      <c r="B102">
        <v>2024</v>
      </c>
      <c r="C102">
        <v>7</v>
      </c>
      <c r="D102" t="s">
        <v>17</v>
      </c>
      <c r="E102" t="s">
        <v>29</v>
      </c>
      <c r="F102" t="s">
        <v>46</v>
      </c>
      <c r="G102" t="s">
        <v>49</v>
      </c>
      <c r="H102">
        <v>427</v>
      </c>
      <c r="I102">
        <v>183.51570498572951</v>
      </c>
      <c r="J102">
        <v>78361.210000000006</v>
      </c>
      <c r="K102">
        <v>9426.93</v>
      </c>
    </row>
    <row r="103" spans="1:11" x14ac:dyDescent="0.3">
      <c r="A103" s="1">
        <v>45474</v>
      </c>
      <c r="B103">
        <v>2024</v>
      </c>
      <c r="C103">
        <v>7</v>
      </c>
      <c r="D103" t="s">
        <v>17</v>
      </c>
      <c r="E103" t="s">
        <v>29</v>
      </c>
      <c r="F103" t="s">
        <v>46</v>
      </c>
      <c r="G103" t="s">
        <v>50</v>
      </c>
      <c r="H103">
        <v>192</v>
      </c>
      <c r="I103">
        <v>46.912051167288027</v>
      </c>
      <c r="J103">
        <v>9007.11</v>
      </c>
      <c r="K103">
        <v>2225.25</v>
      </c>
    </row>
    <row r="104" spans="1:11" x14ac:dyDescent="0.3">
      <c r="A104" s="1">
        <v>45474</v>
      </c>
      <c r="B104">
        <v>2024</v>
      </c>
      <c r="C104">
        <v>7</v>
      </c>
      <c r="D104" t="s">
        <v>17</v>
      </c>
      <c r="E104" t="s">
        <v>29</v>
      </c>
      <c r="F104" t="s">
        <v>46</v>
      </c>
      <c r="G104" t="s">
        <v>51</v>
      </c>
      <c r="H104">
        <v>283</v>
      </c>
      <c r="I104">
        <v>143.3737066789636</v>
      </c>
      <c r="J104">
        <v>40574.76</v>
      </c>
      <c r="K104">
        <v>5868.97</v>
      </c>
    </row>
    <row r="105" spans="1:11" x14ac:dyDescent="0.3">
      <c r="A105" s="1">
        <v>45474</v>
      </c>
      <c r="B105">
        <v>2024</v>
      </c>
      <c r="C105">
        <v>7</v>
      </c>
      <c r="D105" t="s">
        <v>17</v>
      </c>
      <c r="E105" t="s">
        <v>29</v>
      </c>
      <c r="F105" t="s">
        <v>46</v>
      </c>
      <c r="G105" t="s">
        <v>52</v>
      </c>
      <c r="H105">
        <v>490</v>
      </c>
      <c r="I105">
        <v>15.24718665600389</v>
      </c>
      <c r="J105">
        <v>7471.12</v>
      </c>
      <c r="K105">
        <v>698.73</v>
      </c>
    </row>
    <row r="106" spans="1:11" x14ac:dyDescent="0.3">
      <c r="A106" s="1">
        <v>45474</v>
      </c>
      <c r="B106">
        <v>2024</v>
      </c>
      <c r="C106">
        <v>7</v>
      </c>
      <c r="D106" t="s">
        <v>17</v>
      </c>
      <c r="E106" t="s">
        <v>29</v>
      </c>
      <c r="F106" t="s">
        <v>47</v>
      </c>
      <c r="G106" t="s">
        <v>49</v>
      </c>
      <c r="H106">
        <v>373</v>
      </c>
      <c r="I106">
        <v>27.856568569765109</v>
      </c>
      <c r="J106">
        <v>10390.5</v>
      </c>
      <c r="K106">
        <v>1353.81</v>
      </c>
    </row>
    <row r="107" spans="1:11" x14ac:dyDescent="0.3">
      <c r="A107" s="1">
        <v>45474</v>
      </c>
      <c r="B107">
        <v>2024</v>
      </c>
      <c r="C107">
        <v>7</v>
      </c>
      <c r="D107" t="s">
        <v>17</v>
      </c>
      <c r="E107" t="s">
        <v>29</v>
      </c>
      <c r="F107" t="s">
        <v>47</v>
      </c>
      <c r="G107" t="s">
        <v>50</v>
      </c>
      <c r="H107">
        <v>172</v>
      </c>
      <c r="I107">
        <v>39.457907178271398</v>
      </c>
      <c r="J107">
        <v>6786.76</v>
      </c>
      <c r="K107">
        <v>1368.47</v>
      </c>
    </row>
    <row r="108" spans="1:11" x14ac:dyDescent="0.3">
      <c r="A108" s="1">
        <v>45474</v>
      </c>
      <c r="B108">
        <v>2024</v>
      </c>
      <c r="C108">
        <v>7</v>
      </c>
      <c r="D108" t="s">
        <v>17</v>
      </c>
      <c r="E108" t="s">
        <v>29</v>
      </c>
      <c r="F108" t="s">
        <v>47</v>
      </c>
      <c r="G108" t="s">
        <v>51</v>
      </c>
      <c r="H108">
        <v>209</v>
      </c>
      <c r="I108">
        <v>64.442837904374045</v>
      </c>
      <c r="J108">
        <v>13468.55</v>
      </c>
      <c r="K108">
        <v>2177.9899999999998</v>
      </c>
    </row>
    <row r="109" spans="1:11" x14ac:dyDescent="0.3">
      <c r="A109" s="1">
        <v>45474</v>
      </c>
      <c r="B109">
        <v>2024</v>
      </c>
      <c r="C109">
        <v>7</v>
      </c>
      <c r="D109" t="s">
        <v>17</v>
      </c>
      <c r="E109" t="s">
        <v>29</v>
      </c>
      <c r="F109" t="s">
        <v>47</v>
      </c>
      <c r="G109" t="s">
        <v>52</v>
      </c>
      <c r="H109">
        <v>199</v>
      </c>
      <c r="I109">
        <v>17.378599541590411</v>
      </c>
      <c r="J109">
        <v>3458.34</v>
      </c>
      <c r="K109">
        <v>420.55</v>
      </c>
    </row>
    <row r="110" spans="1:11" x14ac:dyDescent="0.3">
      <c r="A110" s="1">
        <v>45474</v>
      </c>
      <c r="B110">
        <v>2024</v>
      </c>
      <c r="C110">
        <v>7</v>
      </c>
      <c r="D110" t="s">
        <v>17</v>
      </c>
      <c r="E110" t="s">
        <v>29</v>
      </c>
      <c r="F110" t="s">
        <v>48</v>
      </c>
      <c r="G110" t="s">
        <v>49</v>
      </c>
      <c r="H110">
        <v>290</v>
      </c>
      <c r="I110">
        <v>78.436221868139953</v>
      </c>
      <c r="J110">
        <v>22746.5</v>
      </c>
      <c r="K110">
        <v>2645.09</v>
      </c>
    </row>
    <row r="111" spans="1:11" x14ac:dyDescent="0.3">
      <c r="A111" s="1">
        <v>45474</v>
      </c>
      <c r="B111">
        <v>2024</v>
      </c>
      <c r="C111">
        <v>7</v>
      </c>
      <c r="D111" t="s">
        <v>17</v>
      </c>
      <c r="E111" t="s">
        <v>29</v>
      </c>
      <c r="F111" t="s">
        <v>48</v>
      </c>
      <c r="G111" t="s">
        <v>50</v>
      </c>
      <c r="H111">
        <v>72</v>
      </c>
      <c r="I111">
        <v>61.593154005750961</v>
      </c>
      <c r="J111">
        <v>4434.71</v>
      </c>
      <c r="K111">
        <v>680.48</v>
      </c>
    </row>
    <row r="112" spans="1:11" x14ac:dyDescent="0.3">
      <c r="A112" s="1">
        <v>45474</v>
      </c>
      <c r="B112">
        <v>2024</v>
      </c>
      <c r="C112">
        <v>7</v>
      </c>
      <c r="D112" t="s">
        <v>17</v>
      </c>
      <c r="E112" t="s">
        <v>29</v>
      </c>
      <c r="F112" t="s">
        <v>48</v>
      </c>
      <c r="G112" t="s">
        <v>51</v>
      </c>
      <c r="H112">
        <v>127</v>
      </c>
      <c r="I112">
        <v>128.34919040560999</v>
      </c>
      <c r="J112">
        <v>16300.35</v>
      </c>
      <c r="K112">
        <v>3142.39</v>
      </c>
    </row>
    <row r="113" spans="1:11" x14ac:dyDescent="0.3">
      <c r="A113" s="1">
        <v>45474</v>
      </c>
      <c r="B113">
        <v>2024</v>
      </c>
      <c r="C113">
        <v>7</v>
      </c>
      <c r="D113" t="s">
        <v>17</v>
      </c>
      <c r="E113" t="s">
        <v>29</v>
      </c>
      <c r="F113" t="s">
        <v>48</v>
      </c>
      <c r="G113" t="s">
        <v>52</v>
      </c>
      <c r="H113">
        <v>330</v>
      </c>
      <c r="I113">
        <v>36.287087559382257</v>
      </c>
      <c r="J113">
        <v>11974.74</v>
      </c>
      <c r="K113">
        <v>1579.09</v>
      </c>
    </row>
    <row r="114" spans="1:11" x14ac:dyDescent="0.3">
      <c r="A114" s="1">
        <v>45505</v>
      </c>
      <c r="B114">
        <v>2024</v>
      </c>
      <c r="C114">
        <v>8</v>
      </c>
      <c r="D114" t="s">
        <v>18</v>
      </c>
      <c r="E114" t="s">
        <v>30</v>
      </c>
      <c r="F114" t="s">
        <v>45</v>
      </c>
      <c r="G114" t="s">
        <v>49</v>
      </c>
      <c r="H114">
        <v>163</v>
      </c>
      <c r="I114">
        <v>195.4118950978816</v>
      </c>
      <c r="J114">
        <v>31852.14</v>
      </c>
      <c r="K114">
        <v>2850.68</v>
      </c>
    </row>
    <row r="115" spans="1:11" x14ac:dyDescent="0.3">
      <c r="A115" s="1">
        <v>45505</v>
      </c>
      <c r="B115">
        <v>2024</v>
      </c>
      <c r="C115">
        <v>8</v>
      </c>
      <c r="D115" t="s">
        <v>18</v>
      </c>
      <c r="E115" t="s">
        <v>30</v>
      </c>
      <c r="F115" t="s">
        <v>45</v>
      </c>
      <c r="G115" t="s">
        <v>50</v>
      </c>
      <c r="H115">
        <v>164</v>
      </c>
      <c r="I115">
        <v>85.775971274510965</v>
      </c>
      <c r="J115">
        <v>14067.26</v>
      </c>
      <c r="K115">
        <v>2725.24</v>
      </c>
    </row>
    <row r="116" spans="1:11" x14ac:dyDescent="0.3">
      <c r="A116" s="1">
        <v>45505</v>
      </c>
      <c r="B116">
        <v>2024</v>
      </c>
      <c r="C116">
        <v>8</v>
      </c>
      <c r="D116" t="s">
        <v>18</v>
      </c>
      <c r="E116" t="s">
        <v>30</v>
      </c>
      <c r="F116" t="s">
        <v>45</v>
      </c>
      <c r="G116" t="s">
        <v>51</v>
      </c>
      <c r="H116">
        <v>294</v>
      </c>
      <c r="I116">
        <v>93.404569934070864</v>
      </c>
      <c r="J116">
        <v>27460.94</v>
      </c>
      <c r="K116">
        <v>3969.85</v>
      </c>
    </row>
    <row r="117" spans="1:11" x14ac:dyDescent="0.3">
      <c r="A117" s="1">
        <v>45505</v>
      </c>
      <c r="B117">
        <v>2024</v>
      </c>
      <c r="C117">
        <v>8</v>
      </c>
      <c r="D117" t="s">
        <v>18</v>
      </c>
      <c r="E117" t="s">
        <v>30</v>
      </c>
      <c r="F117" t="s">
        <v>45</v>
      </c>
      <c r="G117" t="s">
        <v>52</v>
      </c>
      <c r="H117">
        <v>77</v>
      </c>
      <c r="I117">
        <v>183.89060824903129</v>
      </c>
      <c r="J117">
        <v>14159.58</v>
      </c>
      <c r="K117">
        <v>2028.02</v>
      </c>
    </row>
    <row r="118" spans="1:11" x14ac:dyDescent="0.3">
      <c r="A118" s="1">
        <v>45505</v>
      </c>
      <c r="B118">
        <v>2024</v>
      </c>
      <c r="C118">
        <v>8</v>
      </c>
      <c r="D118" t="s">
        <v>18</v>
      </c>
      <c r="E118" t="s">
        <v>30</v>
      </c>
      <c r="F118" t="s">
        <v>46</v>
      </c>
      <c r="G118" t="s">
        <v>49</v>
      </c>
      <c r="H118">
        <v>258</v>
      </c>
      <c r="I118">
        <v>57.546150651273109</v>
      </c>
      <c r="J118">
        <v>14846.91</v>
      </c>
      <c r="K118">
        <v>2157.39</v>
      </c>
    </row>
    <row r="119" spans="1:11" x14ac:dyDescent="0.3">
      <c r="A119" s="1">
        <v>45505</v>
      </c>
      <c r="B119">
        <v>2024</v>
      </c>
      <c r="C119">
        <v>8</v>
      </c>
      <c r="D119" t="s">
        <v>18</v>
      </c>
      <c r="E119" t="s">
        <v>30</v>
      </c>
      <c r="F119" t="s">
        <v>46</v>
      </c>
      <c r="G119" t="s">
        <v>50</v>
      </c>
      <c r="H119">
        <v>256</v>
      </c>
      <c r="I119">
        <v>63.187440419729143</v>
      </c>
      <c r="J119">
        <v>16175.98</v>
      </c>
      <c r="K119">
        <v>2880.94</v>
      </c>
    </row>
    <row r="120" spans="1:11" x14ac:dyDescent="0.3">
      <c r="A120" s="1">
        <v>45505</v>
      </c>
      <c r="B120">
        <v>2024</v>
      </c>
      <c r="C120">
        <v>8</v>
      </c>
      <c r="D120" t="s">
        <v>18</v>
      </c>
      <c r="E120" t="s">
        <v>30</v>
      </c>
      <c r="F120" t="s">
        <v>46</v>
      </c>
      <c r="G120" t="s">
        <v>51</v>
      </c>
      <c r="H120">
        <v>291</v>
      </c>
      <c r="I120">
        <v>108.1722889110477</v>
      </c>
      <c r="J120">
        <v>31478.14</v>
      </c>
      <c r="K120">
        <v>3911.09</v>
      </c>
    </row>
    <row r="121" spans="1:11" x14ac:dyDescent="0.3">
      <c r="A121" s="1">
        <v>45505</v>
      </c>
      <c r="B121">
        <v>2024</v>
      </c>
      <c r="C121">
        <v>8</v>
      </c>
      <c r="D121" t="s">
        <v>18</v>
      </c>
      <c r="E121" t="s">
        <v>30</v>
      </c>
      <c r="F121" t="s">
        <v>46</v>
      </c>
      <c r="G121" t="s">
        <v>52</v>
      </c>
      <c r="H121">
        <v>368</v>
      </c>
      <c r="I121">
        <v>89.72401186128009</v>
      </c>
      <c r="J121">
        <v>33018.44</v>
      </c>
      <c r="K121">
        <v>4241.96</v>
      </c>
    </row>
    <row r="122" spans="1:11" x14ac:dyDescent="0.3">
      <c r="A122" s="1">
        <v>45505</v>
      </c>
      <c r="B122">
        <v>2024</v>
      </c>
      <c r="C122">
        <v>8</v>
      </c>
      <c r="D122" t="s">
        <v>18</v>
      </c>
      <c r="E122" t="s">
        <v>30</v>
      </c>
      <c r="F122" t="s">
        <v>47</v>
      </c>
      <c r="G122" t="s">
        <v>49</v>
      </c>
      <c r="H122">
        <v>95</v>
      </c>
      <c r="I122">
        <v>117.5470699938745</v>
      </c>
      <c r="J122">
        <v>11166.97</v>
      </c>
      <c r="K122">
        <v>1411.5</v>
      </c>
    </row>
    <row r="123" spans="1:11" x14ac:dyDescent="0.3">
      <c r="A123" s="1">
        <v>45505</v>
      </c>
      <c r="B123">
        <v>2024</v>
      </c>
      <c r="C123">
        <v>8</v>
      </c>
      <c r="D123" t="s">
        <v>18</v>
      </c>
      <c r="E123" t="s">
        <v>30</v>
      </c>
      <c r="F123" t="s">
        <v>47</v>
      </c>
      <c r="G123" t="s">
        <v>50</v>
      </c>
      <c r="H123">
        <v>66</v>
      </c>
      <c r="I123">
        <v>17.73847244060433</v>
      </c>
      <c r="J123">
        <v>1170.74</v>
      </c>
      <c r="K123">
        <v>227.98</v>
      </c>
    </row>
    <row r="124" spans="1:11" x14ac:dyDescent="0.3">
      <c r="A124" s="1">
        <v>45505</v>
      </c>
      <c r="B124">
        <v>2024</v>
      </c>
      <c r="C124">
        <v>8</v>
      </c>
      <c r="D124" t="s">
        <v>18</v>
      </c>
      <c r="E124" t="s">
        <v>30</v>
      </c>
      <c r="F124" t="s">
        <v>47</v>
      </c>
      <c r="G124" t="s">
        <v>51</v>
      </c>
      <c r="H124">
        <v>257</v>
      </c>
      <c r="I124">
        <v>196.1070004380866</v>
      </c>
      <c r="J124">
        <v>50399.5</v>
      </c>
      <c r="K124">
        <v>9272.59</v>
      </c>
    </row>
    <row r="125" spans="1:11" x14ac:dyDescent="0.3">
      <c r="A125" s="1">
        <v>45505</v>
      </c>
      <c r="B125">
        <v>2024</v>
      </c>
      <c r="C125">
        <v>8</v>
      </c>
      <c r="D125" t="s">
        <v>18</v>
      </c>
      <c r="E125" t="s">
        <v>30</v>
      </c>
      <c r="F125" t="s">
        <v>47</v>
      </c>
      <c r="G125" t="s">
        <v>52</v>
      </c>
      <c r="H125">
        <v>119</v>
      </c>
      <c r="I125">
        <v>42.908355282902882</v>
      </c>
      <c r="J125">
        <v>5106.09</v>
      </c>
      <c r="K125">
        <v>673.99</v>
      </c>
    </row>
    <row r="126" spans="1:11" x14ac:dyDescent="0.3">
      <c r="A126" s="1">
        <v>45505</v>
      </c>
      <c r="B126">
        <v>2024</v>
      </c>
      <c r="C126">
        <v>8</v>
      </c>
      <c r="D126" t="s">
        <v>18</v>
      </c>
      <c r="E126" t="s">
        <v>30</v>
      </c>
      <c r="F126" t="s">
        <v>48</v>
      </c>
      <c r="G126" t="s">
        <v>49</v>
      </c>
      <c r="H126">
        <v>241</v>
      </c>
      <c r="I126">
        <v>133.45699970212499</v>
      </c>
      <c r="J126">
        <v>32163.14</v>
      </c>
      <c r="K126">
        <v>3490.09</v>
      </c>
    </row>
    <row r="127" spans="1:11" x14ac:dyDescent="0.3">
      <c r="A127" s="1">
        <v>45505</v>
      </c>
      <c r="B127">
        <v>2024</v>
      </c>
      <c r="C127">
        <v>8</v>
      </c>
      <c r="D127" t="s">
        <v>18</v>
      </c>
      <c r="E127" t="s">
        <v>30</v>
      </c>
      <c r="F127" t="s">
        <v>48</v>
      </c>
      <c r="G127" t="s">
        <v>50</v>
      </c>
      <c r="H127">
        <v>413</v>
      </c>
      <c r="I127">
        <v>128.91338398570491</v>
      </c>
      <c r="J127">
        <v>53241.23</v>
      </c>
      <c r="K127">
        <v>9875.83</v>
      </c>
    </row>
    <row r="128" spans="1:11" x14ac:dyDescent="0.3">
      <c r="A128" s="1">
        <v>45505</v>
      </c>
      <c r="B128">
        <v>2024</v>
      </c>
      <c r="C128">
        <v>8</v>
      </c>
      <c r="D128" t="s">
        <v>18</v>
      </c>
      <c r="E128" t="s">
        <v>30</v>
      </c>
      <c r="F128" t="s">
        <v>48</v>
      </c>
      <c r="G128" t="s">
        <v>51</v>
      </c>
      <c r="H128">
        <v>461</v>
      </c>
      <c r="I128">
        <v>105.1975779438992</v>
      </c>
      <c r="J128">
        <v>48496.08</v>
      </c>
      <c r="K128">
        <v>8907.32</v>
      </c>
    </row>
    <row r="129" spans="1:11" x14ac:dyDescent="0.3">
      <c r="A129" s="1">
        <v>45505</v>
      </c>
      <c r="B129">
        <v>2024</v>
      </c>
      <c r="C129">
        <v>8</v>
      </c>
      <c r="D129" t="s">
        <v>18</v>
      </c>
      <c r="E129" t="s">
        <v>30</v>
      </c>
      <c r="F129" t="s">
        <v>48</v>
      </c>
      <c r="G129" t="s">
        <v>52</v>
      </c>
      <c r="H129">
        <v>35</v>
      </c>
      <c r="I129">
        <v>23.408062006081671</v>
      </c>
      <c r="J129">
        <v>819.28</v>
      </c>
      <c r="K129">
        <v>84.61</v>
      </c>
    </row>
    <row r="130" spans="1:11" x14ac:dyDescent="0.3">
      <c r="A130" s="1">
        <v>45536</v>
      </c>
      <c r="B130">
        <v>2024</v>
      </c>
      <c r="C130">
        <v>9</v>
      </c>
      <c r="D130" t="s">
        <v>19</v>
      </c>
      <c r="E130" t="s">
        <v>31</v>
      </c>
      <c r="F130" t="s">
        <v>45</v>
      </c>
      <c r="G130" t="s">
        <v>49</v>
      </c>
      <c r="H130">
        <v>266</v>
      </c>
      <c r="I130">
        <v>189.40780345378181</v>
      </c>
      <c r="J130">
        <v>50382.48</v>
      </c>
      <c r="K130">
        <v>6896.42</v>
      </c>
    </row>
    <row r="131" spans="1:11" x14ac:dyDescent="0.3">
      <c r="A131" s="1">
        <v>45536</v>
      </c>
      <c r="B131">
        <v>2024</v>
      </c>
      <c r="C131">
        <v>9</v>
      </c>
      <c r="D131" t="s">
        <v>19</v>
      </c>
      <c r="E131" t="s">
        <v>31</v>
      </c>
      <c r="F131" t="s">
        <v>45</v>
      </c>
      <c r="G131" t="s">
        <v>50</v>
      </c>
      <c r="H131">
        <v>359</v>
      </c>
      <c r="I131">
        <v>119.34009379641699</v>
      </c>
      <c r="J131">
        <v>42843.09</v>
      </c>
      <c r="K131">
        <v>8933.84</v>
      </c>
    </row>
    <row r="132" spans="1:11" x14ac:dyDescent="0.3">
      <c r="A132" s="1">
        <v>45536</v>
      </c>
      <c r="B132">
        <v>2024</v>
      </c>
      <c r="C132">
        <v>9</v>
      </c>
      <c r="D132" t="s">
        <v>19</v>
      </c>
      <c r="E132" t="s">
        <v>31</v>
      </c>
      <c r="F132" t="s">
        <v>45</v>
      </c>
      <c r="G132" t="s">
        <v>51</v>
      </c>
      <c r="H132">
        <v>197</v>
      </c>
      <c r="I132">
        <v>118.9397379176673</v>
      </c>
      <c r="J132">
        <v>23431.13</v>
      </c>
      <c r="K132">
        <v>3855.35</v>
      </c>
    </row>
    <row r="133" spans="1:11" x14ac:dyDescent="0.3">
      <c r="A133" s="1">
        <v>45536</v>
      </c>
      <c r="B133">
        <v>2024</v>
      </c>
      <c r="C133">
        <v>9</v>
      </c>
      <c r="D133" t="s">
        <v>19</v>
      </c>
      <c r="E133" t="s">
        <v>31</v>
      </c>
      <c r="F133" t="s">
        <v>45</v>
      </c>
      <c r="G133" t="s">
        <v>52</v>
      </c>
      <c r="H133">
        <v>446</v>
      </c>
      <c r="I133">
        <v>188.8783136675398</v>
      </c>
      <c r="J133">
        <v>84239.73</v>
      </c>
      <c r="K133">
        <v>8809.85</v>
      </c>
    </row>
    <row r="134" spans="1:11" x14ac:dyDescent="0.3">
      <c r="A134" s="1">
        <v>45536</v>
      </c>
      <c r="B134">
        <v>2024</v>
      </c>
      <c r="C134">
        <v>9</v>
      </c>
      <c r="D134" t="s">
        <v>19</v>
      </c>
      <c r="E134" t="s">
        <v>31</v>
      </c>
      <c r="F134" t="s">
        <v>46</v>
      </c>
      <c r="G134" t="s">
        <v>49</v>
      </c>
      <c r="H134">
        <v>342</v>
      </c>
      <c r="I134">
        <v>165.88110031654091</v>
      </c>
      <c r="J134">
        <v>56731.34</v>
      </c>
      <c r="K134">
        <v>4941.3599999999997</v>
      </c>
    </row>
    <row r="135" spans="1:11" x14ac:dyDescent="0.3">
      <c r="A135" s="1">
        <v>45536</v>
      </c>
      <c r="B135">
        <v>2024</v>
      </c>
      <c r="C135">
        <v>9</v>
      </c>
      <c r="D135" t="s">
        <v>19</v>
      </c>
      <c r="E135" t="s">
        <v>31</v>
      </c>
      <c r="F135" t="s">
        <v>46</v>
      </c>
      <c r="G135" t="s">
        <v>50</v>
      </c>
      <c r="H135">
        <v>304</v>
      </c>
      <c r="I135">
        <v>23.17864716628144</v>
      </c>
      <c r="J135">
        <v>7046.31</v>
      </c>
      <c r="K135">
        <v>1281.2</v>
      </c>
    </row>
    <row r="136" spans="1:11" x14ac:dyDescent="0.3">
      <c r="A136" s="1">
        <v>45536</v>
      </c>
      <c r="B136">
        <v>2024</v>
      </c>
      <c r="C136">
        <v>9</v>
      </c>
      <c r="D136" t="s">
        <v>19</v>
      </c>
      <c r="E136" t="s">
        <v>31</v>
      </c>
      <c r="F136" t="s">
        <v>46</v>
      </c>
      <c r="G136" t="s">
        <v>51</v>
      </c>
      <c r="H136">
        <v>114</v>
      </c>
      <c r="I136">
        <v>81.679225813315412</v>
      </c>
      <c r="J136">
        <v>9311.43</v>
      </c>
      <c r="K136">
        <v>1324.14</v>
      </c>
    </row>
    <row r="137" spans="1:11" x14ac:dyDescent="0.3">
      <c r="A137" s="1">
        <v>45536</v>
      </c>
      <c r="B137">
        <v>2024</v>
      </c>
      <c r="C137">
        <v>9</v>
      </c>
      <c r="D137" t="s">
        <v>19</v>
      </c>
      <c r="E137" t="s">
        <v>31</v>
      </c>
      <c r="F137" t="s">
        <v>46</v>
      </c>
      <c r="G137" t="s">
        <v>52</v>
      </c>
      <c r="H137">
        <v>234</v>
      </c>
      <c r="I137">
        <v>23.525843207443511</v>
      </c>
      <c r="J137">
        <v>5505.05</v>
      </c>
      <c r="K137">
        <v>448.11</v>
      </c>
    </row>
    <row r="138" spans="1:11" x14ac:dyDescent="0.3">
      <c r="A138" s="1">
        <v>45536</v>
      </c>
      <c r="B138">
        <v>2024</v>
      </c>
      <c r="C138">
        <v>9</v>
      </c>
      <c r="D138" t="s">
        <v>19</v>
      </c>
      <c r="E138" t="s">
        <v>31</v>
      </c>
      <c r="F138" t="s">
        <v>47</v>
      </c>
      <c r="G138" t="s">
        <v>49</v>
      </c>
      <c r="H138">
        <v>283</v>
      </c>
      <c r="I138">
        <v>83.225357983457357</v>
      </c>
      <c r="J138">
        <v>23552.78</v>
      </c>
      <c r="K138">
        <v>2767.47</v>
      </c>
    </row>
    <row r="139" spans="1:11" x14ac:dyDescent="0.3">
      <c r="A139" s="1">
        <v>45536</v>
      </c>
      <c r="B139">
        <v>2024</v>
      </c>
      <c r="C139">
        <v>9</v>
      </c>
      <c r="D139" t="s">
        <v>19</v>
      </c>
      <c r="E139" t="s">
        <v>31</v>
      </c>
      <c r="F139" t="s">
        <v>47</v>
      </c>
      <c r="G139" t="s">
        <v>50</v>
      </c>
      <c r="H139">
        <v>134</v>
      </c>
      <c r="I139">
        <v>63.552407206945993</v>
      </c>
      <c r="J139">
        <v>8516.02</v>
      </c>
      <c r="K139">
        <v>1921.54</v>
      </c>
    </row>
    <row r="140" spans="1:11" x14ac:dyDescent="0.3">
      <c r="A140" s="1">
        <v>45536</v>
      </c>
      <c r="B140">
        <v>2024</v>
      </c>
      <c r="C140">
        <v>9</v>
      </c>
      <c r="D140" t="s">
        <v>19</v>
      </c>
      <c r="E140" t="s">
        <v>31</v>
      </c>
      <c r="F140" t="s">
        <v>47</v>
      </c>
      <c r="G140" t="s">
        <v>51</v>
      </c>
      <c r="H140">
        <v>215</v>
      </c>
      <c r="I140">
        <v>141.6491681514685</v>
      </c>
      <c r="J140">
        <v>30454.57</v>
      </c>
      <c r="K140">
        <v>5499.75</v>
      </c>
    </row>
    <row r="141" spans="1:11" x14ac:dyDescent="0.3">
      <c r="A141" s="1">
        <v>45536</v>
      </c>
      <c r="B141">
        <v>2024</v>
      </c>
      <c r="C141">
        <v>9</v>
      </c>
      <c r="D141" t="s">
        <v>19</v>
      </c>
      <c r="E141" t="s">
        <v>31</v>
      </c>
      <c r="F141" t="s">
        <v>47</v>
      </c>
      <c r="G141" t="s">
        <v>52</v>
      </c>
      <c r="H141">
        <v>395</v>
      </c>
      <c r="I141">
        <v>149.66349832273829</v>
      </c>
      <c r="J141">
        <v>59117.08</v>
      </c>
      <c r="K141">
        <v>6876.63</v>
      </c>
    </row>
    <row r="142" spans="1:11" x14ac:dyDescent="0.3">
      <c r="A142" s="1">
        <v>45536</v>
      </c>
      <c r="B142">
        <v>2024</v>
      </c>
      <c r="C142">
        <v>9</v>
      </c>
      <c r="D142" t="s">
        <v>19</v>
      </c>
      <c r="E142" t="s">
        <v>31</v>
      </c>
      <c r="F142" t="s">
        <v>48</v>
      </c>
      <c r="G142" t="s">
        <v>49</v>
      </c>
      <c r="H142">
        <v>296</v>
      </c>
      <c r="I142">
        <v>193.84030478884699</v>
      </c>
      <c r="J142">
        <v>57376.73</v>
      </c>
      <c r="K142">
        <v>4054.51</v>
      </c>
    </row>
    <row r="143" spans="1:11" x14ac:dyDescent="0.3">
      <c r="A143" s="1">
        <v>45536</v>
      </c>
      <c r="B143">
        <v>2024</v>
      </c>
      <c r="C143">
        <v>9</v>
      </c>
      <c r="D143" t="s">
        <v>19</v>
      </c>
      <c r="E143" t="s">
        <v>31</v>
      </c>
      <c r="F143" t="s">
        <v>48</v>
      </c>
      <c r="G143" t="s">
        <v>50</v>
      </c>
      <c r="H143">
        <v>427</v>
      </c>
      <c r="I143">
        <v>163.29860046078019</v>
      </c>
      <c r="J143">
        <v>69728.5</v>
      </c>
      <c r="K143">
        <v>14140.34</v>
      </c>
    </row>
    <row r="144" spans="1:11" x14ac:dyDescent="0.3">
      <c r="A144" s="1">
        <v>45536</v>
      </c>
      <c r="B144">
        <v>2024</v>
      </c>
      <c r="C144">
        <v>9</v>
      </c>
      <c r="D144" t="s">
        <v>19</v>
      </c>
      <c r="E144" t="s">
        <v>31</v>
      </c>
      <c r="F144" t="s">
        <v>48</v>
      </c>
      <c r="G144" t="s">
        <v>51</v>
      </c>
      <c r="H144">
        <v>196</v>
      </c>
      <c r="I144">
        <v>149.01307350693159</v>
      </c>
      <c r="J144">
        <v>29206.560000000001</v>
      </c>
      <c r="K144">
        <v>4020.13</v>
      </c>
    </row>
    <row r="145" spans="1:11" x14ac:dyDescent="0.3">
      <c r="A145" s="1">
        <v>45536</v>
      </c>
      <c r="B145">
        <v>2024</v>
      </c>
      <c r="C145">
        <v>9</v>
      </c>
      <c r="D145" t="s">
        <v>19</v>
      </c>
      <c r="E145" t="s">
        <v>31</v>
      </c>
      <c r="F145" t="s">
        <v>48</v>
      </c>
      <c r="G145" t="s">
        <v>52</v>
      </c>
      <c r="H145">
        <v>115</v>
      </c>
      <c r="I145">
        <v>74.752672648073386</v>
      </c>
      <c r="J145">
        <v>8596.56</v>
      </c>
      <c r="K145">
        <v>722.5</v>
      </c>
    </row>
    <row r="146" spans="1:11" x14ac:dyDescent="0.3">
      <c r="A146" s="1">
        <v>45566</v>
      </c>
      <c r="B146">
        <v>2024</v>
      </c>
      <c r="C146">
        <v>10</v>
      </c>
      <c r="D146" t="s">
        <v>20</v>
      </c>
      <c r="E146" t="s">
        <v>32</v>
      </c>
      <c r="F146" t="s">
        <v>45</v>
      </c>
      <c r="G146" t="s">
        <v>49</v>
      </c>
      <c r="H146">
        <v>209</v>
      </c>
      <c r="I146">
        <v>116.754671507317</v>
      </c>
      <c r="J146">
        <v>24401.73</v>
      </c>
      <c r="K146">
        <v>3545.32</v>
      </c>
    </row>
    <row r="147" spans="1:11" x14ac:dyDescent="0.3">
      <c r="A147" s="1">
        <v>45566</v>
      </c>
      <c r="B147">
        <v>2024</v>
      </c>
      <c r="C147">
        <v>10</v>
      </c>
      <c r="D147" t="s">
        <v>20</v>
      </c>
      <c r="E147" t="s">
        <v>32</v>
      </c>
      <c r="F147" t="s">
        <v>45</v>
      </c>
      <c r="G147" t="s">
        <v>50</v>
      </c>
      <c r="H147">
        <v>298</v>
      </c>
      <c r="I147">
        <v>153.36314607608961</v>
      </c>
      <c r="J147">
        <v>45702.22</v>
      </c>
      <c r="K147">
        <v>7667.77</v>
      </c>
    </row>
    <row r="148" spans="1:11" x14ac:dyDescent="0.3">
      <c r="A148" s="1">
        <v>45566</v>
      </c>
      <c r="B148">
        <v>2024</v>
      </c>
      <c r="C148">
        <v>10</v>
      </c>
      <c r="D148" t="s">
        <v>20</v>
      </c>
      <c r="E148" t="s">
        <v>32</v>
      </c>
      <c r="F148" t="s">
        <v>45</v>
      </c>
      <c r="G148" t="s">
        <v>51</v>
      </c>
      <c r="H148">
        <v>380</v>
      </c>
      <c r="I148">
        <v>81.768488373496027</v>
      </c>
      <c r="J148">
        <v>31072.03</v>
      </c>
      <c r="K148">
        <v>4768.95</v>
      </c>
    </row>
    <row r="149" spans="1:11" x14ac:dyDescent="0.3">
      <c r="A149" s="1">
        <v>45566</v>
      </c>
      <c r="B149">
        <v>2024</v>
      </c>
      <c r="C149">
        <v>10</v>
      </c>
      <c r="D149" t="s">
        <v>20</v>
      </c>
      <c r="E149" t="s">
        <v>32</v>
      </c>
      <c r="F149" t="s">
        <v>45</v>
      </c>
      <c r="G149" t="s">
        <v>52</v>
      </c>
      <c r="H149">
        <v>236</v>
      </c>
      <c r="I149">
        <v>70.809424195816234</v>
      </c>
      <c r="J149">
        <v>16711.02</v>
      </c>
      <c r="K149">
        <v>2925.76</v>
      </c>
    </row>
    <row r="150" spans="1:11" x14ac:dyDescent="0.3">
      <c r="A150" s="1">
        <v>45566</v>
      </c>
      <c r="B150">
        <v>2024</v>
      </c>
      <c r="C150">
        <v>10</v>
      </c>
      <c r="D150" t="s">
        <v>20</v>
      </c>
      <c r="E150" t="s">
        <v>32</v>
      </c>
      <c r="F150" t="s">
        <v>46</v>
      </c>
      <c r="G150" t="s">
        <v>49</v>
      </c>
      <c r="H150">
        <v>206</v>
      </c>
      <c r="I150">
        <v>28.997128560754039</v>
      </c>
      <c r="J150">
        <v>5973.41</v>
      </c>
      <c r="K150">
        <v>607.94000000000005</v>
      </c>
    </row>
    <row r="151" spans="1:11" x14ac:dyDescent="0.3">
      <c r="A151" s="1">
        <v>45566</v>
      </c>
      <c r="B151">
        <v>2024</v>
      </c>
      <c r="C151">
        <v>10</v>
      </c>
      <c r="D151" t="s">
        <v>20</v>
      </c>
      <c r="E151" t="s">
        <v>32</v>
      </c>
      <c r="F151" t="s">
        <v>46</v>
      </c>
      <c r="G151" t="s">
        <v>50</v>
      </c>
      <c r="H151">
        <v>303</v>
      </c>
      <c r="I151">
        <v>190.51177373965291</v>
      </c>
      <c r="J151">
        <v>57725.07</v>
      </c>
      <c r="K151">
        <v>10949.32</v>
      </c>
    </row>
    <row r="152" spans="1:11" x14ac:dyDescent="0.3">
      <c r="A152" s="1">
        <v>45566</v>
      </c>
      <c r="B152">
        <v>2024</v>
      </c>
      <c r="C152">
        <v>10</v>
      </c>
      <c r="D152" t="s">
        <v>20</v>
      </c>
      <c r="E152" t="s">
        <v>32</v>
      </c>
      <c r="F152" t="s">
        <v>46</v>
      </c>
      <c r="G152" t="s">
        <v>51</v>
      </c>
      <c r="H152">
        <v>403</v>
      </c>
      <c r="I152">
        <v>101.67898043210209</v>
      </c>
      <c r="J152">
        <v>40976.629999999997</v>
      </c>
      <c r="K152">
        <v>5037.45</v>
      </c>
    </row>
    <row r="153" spans="1:11" x14ac:dyDescent="0.3">
      <c r="A153" s="1">
        <v>45566</v>
      </c>
      <c r="B153">
        <v>2024</v>
      </c>
      <c r="C153">
        <v>10</v>
      </c>
      <c r="D153" t="s">
        <v>20</v>
      </c>
      <c r="E153" t="s">
        <v>32</v>
      </c>
      <c r="F153" t="s">
        <v>46</v>
      </c>
      <c r="G153" t="s">
        <v>52</v>
      </c>
      <c r="H153">
        <v>88</v>
      </c>
      <c r="I153">
        <v>65.710046622632262</v>
      </c>
      <c r="J153">
        <v>5782.48</v>
      </c>
      <c r="K153">
        <v>518.77</v>
      </c>
    </row>
    <row r="154" spans="1:11" x14ac:dyDescent="0.3">
      <c r="A154" s="1">
        <v>45566</v>
      </c>
      <c r="B154">
        <v>2024</v>
      </c>
      <c r="C154">
        <v>10</v>
      </c>
      <c r="D154" t="s">
        <v>20</v>
      </c>
      <c r="E154" t="s">
        <v>32</v>
      </c>
      <c r="F154" t="s">
        <v>47</v>
      </c>
      <c r="G154" t="s">
        <v>49</v>
      </c>
      <c r="H154">
        <v>44</v>
      </c>
      <c r="I154">
        <v>115.2035799457021</v>
      </c>
      <c r="J154">
        <v>5068.96</v>
      </c>
      <c r="K154">
        <v>674.92</v>
      </c>
    </row>
    <row r="155" spans="1:11" x14ac:dyDescent="0.3">
      <c r="A155" s="1">
        <v>45566</v>
      </c>
      <c r="B155">
        <v>2024</v>
      </c>
      <c r="C155">
        <v>10</v>
      </c>
      <c r="D155" t="s">
        <v>20</v>
      </c>
      <c r="E155" t="s">
        <v>32</v>
      </c>
      <c r="F155" t="s">
        <v>47</v>
      </c>
      <c r="G155" t="s">
        <v>50</v>
      </c>
      <c r="H155">
        <v>200</v>
      </c>
      <c r="I155">
        <v>103.9398578934905</v>
      </c>
      <c r="J155">
        <v>20787.97</v>
      </c>
      <c r="K155">
        <v>4261.25</v>
      </c>
    </row>
    <row r="156" spans="1:11" x14ac:dyDescent="0.3">
      <c r="A156" s="1">
        <v>45566</v>
      </c>
      <c r="B156">
        <v>2024</v>
      </c>
      <c r="C156">
        <v>10</v>
      </c>
      <c r="D156" t="s">
        <v>20</v>
      </c>
      <c r="E156" t="s">
        <v>32</v>
      </c>
      <c r="F156" t="s">
        <v>47</v>
      </c>
      <c r="G156" t="s">
        <v>51</v>
      </c>
      <c r="H156">
        <v>442</v>
      </c>
      <c r="I156">
        <v>199.22693598576251</v>
      </c>
      <c r="J156">
        <v>88058.31</v>
      </c>
      <c r="K156">
        <v>18164.080000000002</v>
      </c>
    </row>
    <row r="157" spans="1:11" x14ac:dyDescent="0.3">
      <c r="A157" s="1">
        <v>45566</v>
      </c>
      <c r="B157">
        <v>2024</v>
      </c>
      <c r="C157">
        <v>10</v>
      </c>
      <c r="D157" t="s">
        <v>20</v>
      </c>
      <c r="E157" t="s">
        <v>32</v>
      </c>
      <c r="F157" t="s">
        <v>47</v>
      </c>
      <c r="G157" t="s">
        <v>52</v>
      </c>
      <c r="H157">
        <v>258</v>
      </c>
      <c r="I157">
        <v>37.168419590038809</v>
      </c>
      <c r="J157">
        <v>9589.4500000000007</v>
      </c>
      <c r="K157">
        <v>1228.33</v>
      </c>
    </row>
    <row r="158" spans="1:11" x14ac:dyDescent="0.3">
      <c r="A158" s="1">
        <v>45566</v>
      </c>
      <c r="B158">
        <v>2024</v>
      </c>
      <c r="C158">
        <v>10</v>
      </c>
      <c r="D158" t="s">
        <v>20</v>
      </c>
      <c r="E158" t="s">
        <v>32</v>
      </c>
      <c r="F158" t="s">
        <v>48</v>
      </c>
      <c r="G158" t="s">
        <v>49</v>
      </c>
      <c r="H158">
        <v>93</v>
      </c>
      <c r="I158">
        <v>169.023136105101</v>
      </c>
      <c r="J158">
        <v>15719.15</v>
      </c>
      <c r="K158">
        <v>1825.17</v>
      </c>
    </row>
    <row r="159" spans="1:11" x14ac:dyDescent="0.3">
      <c r="A159" s="1">
        <v>45566</v>
      </c>
      <c r="B159">
        <v>2024</v>
      </c>
      <c r="C159">
        <v>10</v>
      </c>
      <c r="D159" t="s">
        <v>20</v>
      </c>
      <c r="E159" t="s">
        <v>32</v>
      </c>
      <c r="F159" t="s">
        <v>48</v>
      </c>
      <c r="G159" t="s">
        <v>50</v>
      </c>
      <c r="H159">
        <v>193</v>
      </c>
      <c r="I159">
        <v>143.18413497723279</v>
      </c>
      <c r="J159">
        <v>27634.54</v>
      </c>
      <c r="K159">
        <v>4869.33</v>
      </c>
    </row>
    <row r="160" spans="1:11" x14ac:dyDescent="0.3">
      <c r="A160" s="1">
        <v>45566</v>
      </c>
      <c r="B160">
        <v>2024</v>
      </c>
      <c r="C160">
        <v>10</v>
      </c>
      <c r="D160" t="s">
        <v>20</v>
      </c>
      <c r="E160" t="s">
        <v>32</v>
      </c>
      <c r="F160" t="s">
        <v>48</v>
      </c>
      <c r="G160" t="s">
        <v>51</v>
      </c>
      <c r="H160">
        <v>189</v>
      </c>
      <c r="I160">
        <v>85.36380437130785</v>
      </c>
      <c r="J160">
        <v>16133.76</v>
      </c>
      <c r="K160">
        <v>1829.03</v>
      </c>
    </row>
    <row r="161" spans="1:11" x14ac:dyDescent="0.3">
      <c r="A161" s="1">
        <v>45566</v>
      </c>
      <c r="B161">
        <v>2024</v>
      </c>
      <c r="C161">
        <v>10</v>
      </c>
      <c r="D161" t="s">
        <v>20</v>
      </c>
      <c r="E161" t="s">
        <v>32</v>
      </c>
      <c r="F161" t="s">
        <v>48</v>
      </c>
      <c r="G161" t="s">
        <v>52</v>
      </c>
      <c r="H161">
        <v>155</v>
      </c>
      <c r="I161">
        <v>81.111451193662859</v>
      </c>
      <c r="J161">
        <v>12572.27</v>
      </c>
      <c r="K161">
        <v>1214.23</v>
      </c>
    </row>
    <row r="162" spans="1:11" x14ac:dyDescent="0.3">
      <c r="A162" s="1">
        <v>45597</v>
      </c>
      <c r="B162">
        <v>2024</v>
      </c>
      <c r="C162">
        <v>11</v>
      </c>
      <c r="D162" t="s">
        <v>21</v>
      </c>
      <c r="E162" t="s">
        <v>33</v>
      </c>
      <c r="F162" t="s">
        <v>45</v>
      </c>
      <c r="G162" t="s">
        <v>49</v>
      </c>
      <c r="H162">
        <v>340</v>
      </c>
      <c r="I162">
        <v>177.26839404129919</v>
      </c>
      <c r="J162">
        <v>60271.25</v>
      </c>
      <c r="K162">
        <v>8184.69</v>
      </c>
    </row>
    <row r="163" spans="1:11" x14ac:dyDescent="0.3">
      <c r="A163" s="1">
        <v>45597</v>
      </c>
      <c r="B163">
        <v>2024</v>
      </c>
      <c r="C163">
        <v>11</v>
      </c>
      <c r="D163" t="s">
        <v>21</v>
      </c>
      <c r="E163" t="s">
        <v>33</v>
      </c>
      <c r="F163" t="s">
        <v>45</v>
      </c>
      <c r="G163" t="s">
        <v>50</v>
      </c>
      <c r="H163">
        <v>320</v>
      </c>
      <c r="I163">
        <v>153.14185519919889</v>
      </c>
      <c r="J163">
        <v>49005.39</v>
      </c>
      <c r="K163">
        <v>9127.52</v>
      </c>
    </row>
    <row r="164" spans="1:11" x14ac:dyDescent="0.3">
      <c r="A164" s="1">
        <v>45597</v>
      </c>
      <c r="B164">
        <v>2024</v>
      </c>
      <c r="C164">
        <v>11</v>
      </c>
      <c r="D164" t="s">
        <v>21</v>
      </c>
      <c r="E164" t="s">
        <v>33</v>
      </c>
      <c r="F164" t="s">
        <v>45</v>
      </c>
      <c r="G164" t="s">
        <v>51</v>
      </c>
      <c r="H164">
        <v>89</v>
      </c>
      <c r="I164">
        <v>144.55442716080799</v>
      </c>
      <c r="J164">
        <v>12865.34</v>
      </c>
      <c r="K164">
        <v>1456.46</v>
      </c>
    </row>
    <row r="165" spans="1:11" x14ac:dyDescent="0.3">
      <c r="A165" s="1">
        <v>45597</v>
      </c>
      <c r="B165">
        <v>2024</v>
      </c>
      <c r="C165">
        <v>11</v>
      </c>
      <c r="D165" t="s">
        <v>21</v>
      </c>
      <c r="E165" t="s">
        <v>33</v>
      </c>
      <c r="F165" t="s">
        <v>45</v>
      </c>
      <c r="G165" t="s">
        <v>52</v>
      </c>
      <c r="H165">
        <v>186</v>
      </c>
      <c r="I165">
        <v>90.602181756925489</v>
      </c>
      <c r="J165">
        <v>16852.009999999998</v>
      </c>
      <c r="K165">
        <v>1735.24</v>
      </c>
    </row>
    <row r="166" spans="1:11" x14ac:dyDescent="0.3">
      <c r="A166" s="1">
        <v>45597</v>
      </c>
      <c r="B166">
        <v>2024</v>
      </c>
      <c r="C166">
        <v>11</v>
      </c>
      <c r="D166" t="s">
        <v>21</v>
      </c>
      <c r="E166" t="s">
        <v>33</v>
      </c>
      <c r="F166" t="s">
        <v>46</v>
      </c>
      <c r="G166" t="s">
        <v>49</v>
      </c>
      <c r="H166">
        <v>365</v>
      </c>
      <c r="I166">
        <v>72.747980513628718</v>
      </c>
      <c r="J166">
        <v>26553.01</v>
      </c>
      <c r="K166">
        <v>2078.3200000000002</v>
      </c>
    </row>
    <row r="167" spans="1:11" x14ac:dyDescent="0.3">
      <c r="A167" s="1">
        <v>45597</v>
      </c>
      <c r="B167">
        <v>2024</v>
      </c>
      <c r="C167">
        <v>11</v>
      </c>
      <c r="D167" t="s">
        <v>21</v>
      </c>
      <c r="E167" t="s">
        <v>33</v>
      </c>
      <c r="F167" t="s">
        <v>46</v>
      </c>
      <c r="G167" t="s">
        <v>50</v>
      </c>
      <c r="H167">
        <v>261</v>
      </c>
      <c r="I167">
        <v>99.045521978883997</v>
      </c>
      <c r="J167">
        <v>25850.880000000001</v>
      </c>
      <c r="K167">
        <v>4176.38</v>
      </c>
    </row>
    <row r="168" spans="1:11" x14ac:dyDescent="0.3">
      <c r="A168" s="1">
        <v>45597</v>
      </c>
      <c r="B168">
        <v>2024</v>
      </c>
      <c r="C168">
        <v>11</v>
      </c>
      <c r="D168" t="s">
        <v>21</v>
      </c>
      <c r="E168" t="s">
        <v>33</v>
      </c>
      <c r="F168" t="s">
        <v>46</v>
      </c>
      <c r="G168" t="s">
        <v>51</v>
      </c>
      <c r="H168">
        <v>77</v>
      </c>
      <c r="I168">
        <v>150.78503357302699</v>
      </c>
      <c r="J168">
        <v>11610.45</v>
      </c>
      <c r="K168">
        <v>1775.83</v>
      </c>
    </row>
    <row r="169" spans="1:11" x14ac:dyDescent="0.3">
      <c r="A169" s="1">
        <v>45597</v>
      </c>
      <c r="B169">
        <v>2024</v>
      </c>
      <c r="C169">
        <v>11</v>
      </c>
      <c r="D169" t="s">
        <v>21</v>
      </c>
      <c r="E169" t="s">
        <v>33</v>
      </c>
      <c r="F169" t="s">
        <v>46</v>
      </c>
      <c r="G169" t="s">
        <v>52</v>
      </c>
      <c r="H169">
        <v>442</v>
      </c>
      <c r="I169">
        <v>151.7485270604304</v>
      </c>
      <c r="J169">
        <v>67072.850000000006</v>
      </c>
      <c r="K169">
        <v>6755.61</v>
      </c>
    </row>
    <row r="170" spans="1:11" x14ac:dyDescent="0.3">
      <c r="A170" s="1">
        <v>45597</v>
      </c>
      <c r="B170">
        <v>2024</v>
      </c>
      <c r="C170">
        <v>11</v>
      </c>
      <c r="D170" t="s">
        <v>21</v>
      </c>
      <c r="E170" t="s">
        <v>33</v>
      </c>
      <c r="F170" t="s">
        <v>47</v>
      </c>
      <c r="G170" t="s">
        <v>49</v>
      </c>
      <c r="H170">
        <v>480</v>
      </c>
      <c r="I170">
        <v>55.126229545569288</v>
      </c>
      <c r="J170">
        <v>26460.59</v>
      </c>
      <c r="K170">
        <v>3413.81</v>
      </c>
    </row>
    <row r="171" spans="1:11" x14ac:dyDescent="0.3">
      <c r="A171" s="1">
        <v>45597</v>
      </c>
      <c r="B171">
        <v>2024</v>
      </c>
      <c r="C171">
        <v>11</v>
      </c>
      <c r="D171" t="s">
        <v>21</v>
      </c>
      <c r="E171" t="s">
        <v>33</v>
      </c>
      <c r="F171" t="s">
        <v>47</v>
      </c>
      <c r="G171" t="s">
        <v>50</v>
      </c>
      <c r="H171">
        <v>428</v>
      </c>
      <c r="I171">
        <v>175.03383435599741</v>
      </c>
      <c r="J171">
        <v>74914.48</v>
      </c>
      <c r="K171">
        <v>11298.31</v>
      </c>
    </row>
    <row r="172" spans="1:11" x14ac:dyDescent="0.3">
      <c r="A172" s="1">
        <v>45597</v>
      </c>
      <c r="B172">
        <v>2024</v>
      </c>
      <c r="C172">
        <v>11</v>
      </c>
      <c r="D172" t="s">
        <v>21</v>
      </c>
      <c r="E172" t="s">
        <v>33</v>
      </c>
      <c r="F172" t="s">
        <v>47</v>
      </c>
      <c r="G172" t="s">
        <v>51</v>
      </c>
      <c r="H172">
        <v>441</v>
      </c>
      <c r="I172">
        <v>92.903808005245637</v>
      </c>
      <c r="J172">
        <v>40970.58</v>
      </c>
      <c r="K172">
        <v>5410.78</v>
      </c>
    </row>
    <row r="173" spans="1:11" x14ac:dyDescent="0.3">
      <c r="A173" s="1">
        <v>45597</v>
      </c>
      <c r="B173">
        <v>2024</v>
      </c>
      <c r="C173">
        <v>11</v>
      </c>
      <c r="D173" t="s">
        <v>21</v>
      </c>
      <c r="E173" t="s">
        <v>33</v>
      </c>
      <c r="F173" t="s">
        <v>47</v>
      </c>
      <c r="G173" t="s">
        <v>52</v>
      </c>
      <c r="H173">
        <v>99</v>
      </c>
      <c r="I173">
        <v>110.26321072639701</v>
      </c>
      <c r="J173">
        <v>10916.06</v>
      </c>
      <c r="K173">
        <v>1440.72</v>
      </c>
    </row>
    <row r="174" spans="1:11" x14ac:dyDescent="0.3">
      <c r="A174" s="1">
        <v>45597</v>
      </c>
      <c r="B174">
        <v>2024</v>
      </c>
      <c r="C174">
        <v>11</v>
      </c>
      <c r="D174" t="s">
        <v>21</v>
      </c>
      <c r="E174" t="s">
        <v>33</v>
      </c>
      <c r="F174" t="s">
        <v>48</v>
      </c>
      <c r="G174" t="s">
        <v>49</v>
      </c>
      <c r="H174">
        <v>222</v>
      </c>
      <c r="I174">
        <v>184.6319859029453</v>
      </c>
      <c r="J174">
        <v>40988.300000000003</v>
      </c>
      <c r="K174">
        <v>5405.19</v>
      </c>
    </row>
    <row r="175" spans="1:11" x14ac:dyDescent="0.3">
      <c r="A175" s="1">
        <v>45597</v>
      </c>
      <c r="B175">
        <v>2024</v>
      </c>
      <c r="C175">
        <v>11</v>
      </c>
      <c r="D175" t="s">
        <v>21</v>
      </c>
      <c r="E175" t="s">
        <v>33</v>
      </c>
      <c r="F175" t="s">
        <v>48</v>
      </c>
      <c r="G175" t="s">
        <v>50</v>
      </c>
      <c r="H175">
        <v>460</v>
      </c>
      <c r="I175">
        <v>109.3885903923283</v>
      </c>
      <c r="J175">
        <v>50318.75</v>
      </c>
      <c r="K175">
        <v>7732.66</v>
      </c>
    </row>
    <row r="176" spans="1:11" x14ac:dyDescent="0.3">
      <c r="A176" s="1">
        <v>45597</v>
      </c>
      <c r="B176">
        <v>2024</v>
      </c>
      <c r="C176">
        <v>11</v>
      </c>
      <c r="D176" t="s">
        <v>21</v>
      </c>
      <c r="E176" t="s">
        <v>33</v>
      </c>
      <c r="F176" t="s">
        <v>48</v>
      </c>
      <c r="G176" t="s">
        <v>51</v>
      </c>
      <c r="H176">
        <v>252</v>
      </c>
      <c r="I176">
        <v>51.19373025143333</v>
      </c>
      <c r="J176">
        <v>12900.82</v>
      </c>
      <c r="K176">
        <v>1639.12</v>
      </c>
    </row>
    <row r="177" spans="1:11" x14ac:dyDescent="0.3">
      <c r="A177" s="1">
        <v>45597</v>
      </c>
      <c r="B177">
        <v>2024</v>
      </c>
      <c r="C177">
        <v>11</v>
      </c>
      <c r="D177" t="s">
        <v>21</v>
      </c>
      <c r="E177" t="s">
        <v>33</v>
      </c>
      <c r="F177" t="s">
        <v>48</v>
      </c>
      <c r="G177" t="s">
        <v>52</v>
      </c>
      <c r="H177">
        <v>490</v>
      </c>
      <c r="I177">
        <v>18.634812264876999</v>
      </c>
      <c r="J177">
        <v>9131.06</v>
      </c>
      <c r="K177">
        <v>1146.0999999999999</v>
      </c>
    </row>
    <row r="178" spans="1:11" x14ac:dyDescent="0.3">
      <c r="A178" s="1">
        <v>45627</v>
      </c>
      <c r="B178">
        <v>2024</v>
      </c>
      <c r="C178">
        <v>12</v>
      </c>
      <c r="D178" t="s">
        <v>22</v>
      </c>
      <c r="E178" t="s">
        <v>34</v>
      </c>
      <c r="F178" t="s">
        <v>45</v>
      </c>
      <c r="G178" t="s">
        <v>49</v>
      </c>
      <c r="H178">
        <v>31</v>
      </c>
      <c r="I178">
        <v>192.15345740749081</v>
      </c>
      <c r="J178">
        <v>5956.76</v>
      </c>
      <c r="K178">
        <v>757.31</v>
      </c>
    </row>
    <row r="179" spans="1:11" x14ac:dyDescent="0.3">
      <c r="A179" s="1">
        <v>45627</v>
      </c>
      <c r="B179">
        <v>2024</v>
      </c>
      <c r="C179">
        <v>12</v>
      </c>
      <c r="D179" t="s">
        <v>22</v>
      </c>
      <c r="E179" t="s">
        <v>34</v>
      </c>
      <c r="F179" t="s">
        <v>45</v>
      </c>
      <c r="G179" t="s">
        <v>50</v>
      </c>
      <c r="H179">
        <v>427</v>
      </c>
      <c r="I179">
        <v>127.825193582292</v>
      </c>
      <c r="J179">
        <v>54581.36</v>
      </c>
      <c r="K179">
        <v>9714.82</v>
      </c>
    </row>
    <row r="180" spans="1:11" x14ac:dyDescent="0.3">
      <c r="A180" s="1">
        <v>45627</v>
      </c>
      <c r="B180">
        <v>2024</v>
      </c>
      <c r="C180">
        <v>12</v>
      </c>
      <c r="D180" t="s">
        <v>22</v>
      </c>
      <c r="E180" t="s">
        <v>34</v>
      </c>
      <c r="F180" t="s">
        <v>45</v>
      </c>
      <c r="G180" t="s">
        <v>51</v>
      </c>
      <c r="H180">
        <v>27</v>
      </c>
      <c r="I180">
        <v>42.239181740157449</v>
      </c>
      <c r="J180">
        <v>1140.46</v>
      </c>
      <c r="K180">
        <v>154.88999999999999</v>
      </c>
    </row>
    <row r="181" spans="1:11" x14ac:dyDescent="0.3">
      <c r="A181" s="1">
        <v>45627</v>
      </c>
      <c r="B181">
        <v>2024</v>
      </c>
      <c r="C181">
        <v>12</v>
      </c>
      <c r="D181" t="s">
        <v>22</v>
      </c>
      <c r="E181" t="s">
        <v>34</v>
      </c>
      <c r="F181" t="s">
        <v>45</v>
      </c>
      <c r="G181" t="s">
        <v>52</v>
      </c>
      <c r="H181">
        <v>335</v>
      </c>
      <c r="I181">
        <v>120.8946612516657</v>
      </c>
      <c r="J181">
        <v>40499.71</v>
      </c>
      <c r="K181">
        <v>5742.17</v>
      </c>
    </row>
    <row r="182" spans="1:11" x14ac:dyDescent="0.3">
      <c r="A182" s="1">
        <v>45627</v>
      </c>
      <c r="B182">
        <v>2024</v>
      </c>
      <c r="C182">
        <v>12</v>
      </c>
      <c r="D182" t="s">
        <v>22</v>
      </c>
      <c r="E182" t="s">
        <v>34</v>
      </c>
      <c r="F182" t="s">
        <v>46</v>
      </c>
      <c r="G182" t="s">
        <v>49</v>
      </c>
      <c r="H182">
        <v>239</v>
      </c>
      <c r="I182">
        <v>78.465568089000968</v>
      </c>
      <c r="J182">
        <v>18753.27</v>
      </c>
      <c r="K182">
        <v>1941.57</v>
      </c>
    </row>
    <row r="183" spans="1:11" x14ac:dyDescent="0.3">
      <c r="A183" s="1">
        <v>45627</v>
      </c>
      <c r="B183">
        <v>2024</v>
      </c>
      <c r="C183">
        <v>12</v>
      </c>
      <c r="D183" t="s">
        <v>22</v>
      </c>
      <c r="E183" t="s">
        <v>34</v>
      </c>
      <c r="F183" t="s">
        <v>46</v>
      </c>
      <c r="G183" t="s">
        <v>50</v>
      </c>
      <c r="H183">
        <v>466</v>
      </c>
      <c r="I183">
        <v>111.8583096053829</v>
      </c>
      <c r="J183">
        <v>52125.97</v>
      </c>
      <c r="K183">
        <v>7130.71</v>
      </c>
    </row>
    <row r="184" spans="1:11" x14ac:dyDescent="0.3">
      <c r="A184" s="1">
        <v>45627</v>
      </c>
      <c r="B184">
        <v>2024</v>
      </c>
      <c r="C184">
        <v>12</v>
      </c>
      <c r="D184" t="s">
        <v>22</v>
      </c>
      <c r="E184" t="s">
        <v>34</v>
      </c>
      <c r="F184" t="s">
        <v>46</v>
      </c>
      <c r="G184" t="s">
        <v>51</v>
      </c>
      <c r="H184">
        <v>436</v>
      </c>
      <c r="I184">
        <v>88.129276965715391</v>
      </c>
      <c r="J184">
        <v>38424.36</v>
      </c>
      <c r="K184">
        <v>4215.4799999999996</v>
      </c>
    </row>
    <row r="185" spans="1:11" x14ac:dyDescent="0.3">
      <c r="A185" s="1">
        <v>45627</v>
      </c>
      <c r="B185">
        <v>2024</v>
      </c>
      <c r="C185">
        <v>12</v>
      </c>
      <c r="D185" t="s">
        <v>22</v>
      </c>
      <c r="E185" t="s">
        <v>34</v>
      </c>
      <c r="F185" t="s">
        <v>46</v>
      </c>
      <c r="G185" t="s">
        <v>52</v>
      </c>
      <c r="H185">
        <v>416</v>
      </c>
      <c r="I185">
        <v>183.0761650538301</v>
      </c>
      <c r="J185">
        <v>76159.679999999993</v>
      </c>
      <c r="K185">
        <v>7889.62</v>
      </c>
    </row>
    <row r="186" spans="1:11" x14ac:dyDescent="0.3">
      <c r="A186" s="1">
        <v>45627</v>
      </c>
      <c r="B186">
        <v>2024</v>
      </c>
      <c r="C186">
        <v>12</v>
      </c>
      <c r="D186" t="s">
        <v>22</v>
      </c>
      <c r="E186" t="s">
        <v>34</v>
      </c>
      <c r="F186" t="s">
        <v>47</v>
      </c>
      <c r="G186" t="s">
        <v>49</v>
      </c>
      <c r="H186">
        <v>272</v>
      </c>
      <c r="I186">
        <v>188.70104715572279</v>
      </c>
      <c r="J186">
        <v>51326.68</v>
      </c>
      <c r="K186">
        <v>8915.1200000000008</v>
      </c>
    </row>
    <row r="187" spans="1:11" x14ac:dyDescent="0.3">
      <c r="A187" s="1">
        <v>45627</v>
      </c>
      <c r="B187">
        <v>2024</v>
      </c>
      <c r="C187">
        <v>12</v>
      </c>
      <c r="D187" t="s">
        <v>22</v>
      </c>
      <c r="E187" t="s">
        <v>34</v>
      </c>
      <c r="F187" t="s">
        <v>47</v>
      </c>
      <c r="G187" t="s">
        <v>50</v>
      </c>
      <c r="H187">
        <v>428</v>
      </c>
      <c r="I187">
        <v>89.466176895217586</v>
      </c>
      <c r="J187">
        <v>38291.519999999997</v>
      </c>
      <c r="K187">
        <v>6333.18</v>
      </c>
    </row>
    <row r="188" spans="1:11" x14ac:dyDescent="0.3">
      <c r="A188" s="1">
        <v>45627</v>
      </c>
      <c r="B188">
        <v>2024</v>
      </c>
      <c r="C188">
        <v>12</v>
      </c>
      <c r="D188" t="s">
        <v>22</v>
      </c>
      <c r="E188" t="s">
        <v>34</v>
      </c>
      <c r="F188" t="s">
        <v>47</v>
      </c>
      <c r="G188" t="s">
        <v>51</v>
      </c>
      <c r="H188">
        <v>331</v>
      </c>
      <c r="I188">
        <v>176.56568232590061</v>
      </c>
      <c r="J188">
        <v>58443.24</v>
      </c>
      <c r="K188">
        <v>8495.6200000000008</v>
      </c>
    </row>
    <row r="189" spans="1:11" x14ac:dyDescent="0.3">
      <c r="A189" s="1">
        <v>45627</v>
      </c>
      <c r="B189">
        <v>2024</v>
      </c>
      <c r="C189">
        <v>12</v>
      </c>
      <c r="D189" t="s">
        <v>22</v>
      </c>
      <c r="E189" t="s">
        <v>34</v>
      </c>
      <c r="F189" t="s">
        <v>47</v>
      </c>
      <c r="G189" t="s">
        <v>52</v>
      </c>
      <c r="H189">
        <v>308</v>
      </c>
      <c r="I189">
        <v>157.74443390969279</v>
      </c>
      <c r="J189">
        <v>48585.29</v>
      </c>
      <c r="K189">
        <v>6014.46</v>
      </c>
    </row>
    <row r="190" spans="1:11" x14ac:dyDescent="0.3">
      <c r="A190" s="1">
        <v>45627</v>
      </c>
      <c r="B190">
        <v>2024</v>
      </c>
      <c r="C190">
        <v>12</v>
      </c>
      <c r="D190" t="s">
        <v>22</v>
      </c>
      <c r="E190" t="s">
        <v>34</v>
      </c>
      <c r="F190" t="s">
        <v>48</v>
      </c>
      <c r="G190" t="s">
        <v>49</v>
      </c>
      <c r="H190">
        <v>165</v>
      </c>
      <c r="I190">
        <v>197.58246456983949</v>
      </c>
      <c r="J190">
        <v>32601.11</v>
      </c>
      <c r="K190">
        <v>3941.79</v>
      </c>
    </row>
    <row r="191" spans="1:11" x14ac:dyDescent="0.3">
      <c r="A191" s="1">
        <v>45627</v>
      </c>
      <c r="B191">
        <v>2024</v>
      </c>
      <c r="C191">
        <v>12</v>
      </c>
      <c r="D191" t="s">
        <v>22</v>
      </c>
      <c r="E191" t="s">
        <v>34</v>
      </c>
      <c r="F191" t="s">
        <v>48</v>
      </c>
      <c r="G191" t="s">
        <v>50</v>
      </c>
      <c r="H191">
        <v>82</v>
      </c>
      <c r="I191">
        <v>84.66799530598324</v>
      </c>
      <c r="J191">
        <v>6942.78</v>
      </c>
      <c r="K191">
        <v>1062.6099999999999</v>
      </c>
    </row>
    <row r="192" spans="1:11" x14ac:dyDescent="0.3">
      <c r="A192" s="1">
        <v>45627</v>
      </c>
      <c r="B192">
        <v>2024</v>
      </c>
      <c r="C192">
        <v>12</v>
      </c>
      <c r="D192" t="s">
        <v>22</v>
      </c>
      <c r="E192" t="s">
        <v>34</v>
      </c>
      <c r="F192" t="s">
        <v>48</v>
      </c>
      <c r="G192" t="s">
        <v>51</v>
      </c>
      <c r="H192">
        <v>334</v>
      </c>
      <c r="I192">
        <v>170.00259539578471</v>
      </c>
      <c r="J192">
        <v>56780.87</v>
      </c>
      <c r="K192">
        <v>8103.15</v>
      </c>
    </row>
    <row r="193" spans="1:11" x14ac:dyDescent="0.3">
      <c r="A193" s="1">
        <v>45627</v>
      </c>
      <c r="B193">
        <v>2024</v>
      </c>
      <c r="C193">
        <v>12</v>
      </c>
      <c r="D193" t="s">
        <v>22</v>
      </c>
      <c r="E193" t="s">
        <v>34</v>
      </c>
      <c r="F193" t="s">
        <v>48</v>
      </c>
      <c r="G193" t="s">
        <v>52</v>
      </c>
      <c r="H193">
        <v>118</v>
      </c>
      <c r="I193">
        <v>35.431902572120308</v>
      </c>
      <c r="J193">
        <v>4180.96</v>
      </c>
      <c r="K193">
        <v>500.7</v>
      </c>
    </row>
    <row r="194" spans="1:11" x14ac:dyDescent="0.3">
      <c r="A194" s="1">
        <v>45658</v>
      </c>
      <c r="B194">
        <v>2025</v>
      </c>
      <c r="C194">
        <v>1</v>
      </c>
      <c r="D194" t="s">
        <v>11</v>
      </c>
      <c r="E194" t="s">
        <v>35</v>
      </c>
      <c r="F194" t="s">
        <v>45</v>
      </c>
      <c r="G194" t="s">
        <v>49</v>
      </c>
      <c r="H194">
        <v>424</v>
      </c>
      <c r="I194">
        <v>20.711344363676151</v>
      </c>
      <c r="J194">
        <v>8781.61</v>
      </c>
      <c r="K194">
        <v>1187.17</v>
      </c>
    </row>
    <row r="195" spans="1:11" x14ac:dyDescent="0.3">
      <c r="A195" s="1">
        <v>45658</v>
      </c>
      <c r="B195">
        <v>2025</v>
      </c>
      <c r="C195">
        <v>1</v>
      </c>
      <c r="D195" t="s">
        <v>11</v>
      </c>
      <c r="E195" t="s">
        <v>35</v>
      </c>
      <c r="F195" t="s">
        <v>45</v>
      </c>
      <c r="G195" t="s">
        <v>50</v>
      </c>
      <c r="H195">
        <v>370</v>
      </c>
      <c r="I195">
        <v>152.48304239929459</v>
      </c>
      <c r="J195">
        <v>56418.73</v>
      </c>
      <c r="K195">
        <v>11060.72</v>
      </c>
    </row>
    <row r="196" spans="1:11" x14ac:dyDescent="0.3">
      <c r="A196" s="1">
        <v>45658</v>
      </c>
      <c r="B196">
        <v>2025</v>
      </c>
      <c r="C196">
        <v>1</v>
      </c>
      <c r="D196" t="s">
        <v>11</v>
      </c>
      <c r="E196" t="s">
        <v>35</v>
      </c>
      <c r="F196" t="s">
        <v>45</v>
      </c>
      <c r="G196" t="s">
        <v>51</v>
      </c>
      <c r="H196">
        <v>278</v>
      </c>
      <c r="I196">
        <v>115.5320240644992</v>
      </c>
      <c r="J196">
        <v>32117.9</v>
      </c>
      <c r="K196">
        <v>4849.76</v>
      </c>
    </row>
    <row r="197" spans="1:11" x14ac:dyDescent="0.3">
      <c r="A197" s="1">
        <v>45658</v>
      </c>
      <c r="B197">
        <v>2025</v>
      </c>
      <c r="C197">
        <v>1</v>
      </c>
      <c r="D197" t="s">
        <v>11</v>
      </c>
      <c r="E197" t="s">
        <v>35</v>
      </c>
      <c r="F197" t="s">
        <v>45</v>
      </c>
      <c r="G197" t="s">
        <v>52</v>
      </c>
      <c r="H197">
        <v>97</v>
      </c>
      <c r="I197">
        <v>48.958612416239731</v>
      </c>
      <c r="J197">
        <v>4748.99</v>
      </c>
      <c r="K197">
        <v>581.54999999999995</v>
      </c>
    </row>
    <row r="198" spans="1:11" x14ac:dyDescent="0.3">
      <c r="A198" s="1">
        <v>45658</v>
      </c>
      <c r="B198">
        <v>2025</v>
      </c>
      <c r="C198">
        <v>1</v>
      </c>
      <c r="D198" t="s">
        <v>11</v>
      </c>
      <c r="E198" t="s">
        <v>35</v>
      </c>
      <c r="F198" t="s">
        <v>46</v>
      </c>
      <c r="G198" t="s">
        <v>49</v>
      </c>
      <c r="H198">
        <v>20</v>
      </c>
      <c r="I198">
        <v>191.26969517915731</v>
      </c>
      <c r="J198">
        <v>3825.39</v>
      </c>
      <c r="K198">
        <v>316.08999999999997</v>
      </c>
    </row>
    <row r="199" spans="1:11" x14ac:dyDescent="0.3">
      <c r="A199" s="1">
        <v>45658</v>
      </c>
      <c r="B199">
        <v>2025</v>
      </c>
      <c r="C199">
        <v>1</v>
      </c>
      <c r="D199" t="s">
        <v>11</v>
      </c>
      <c r="E199" t="s">
        <v>35</v>
      </c>
      <c r="F199" t="s">
        <v>46</v>
      </c>
      <c r="G199" t="s">
        <v>50</v>
      </c>
      <c r="H199">
        <v>388</v>
      </c>
      <c r="I199">
        <v>153.82983511272349</v>
      </c>
      <c r="J199">
        <v>59685.98</v>
      </c>
      <c r="K199">
        <v>10785.84</v>
      </c>
    </row>
    <row r="200" spans="1:11" x14ac:dyDescent="0.3">
      <c r="A200" s="1">
        <v>45658</v>
      </c>
      <c r="B200">
        <v>2025</v>
      </c>
      <c r="C200">
        <v>1</v>
      </c>
      <c r="D200" t="s">
        <v>11</v>
      </c>
      <c r="E200" t="s">
        <v>35</v>
      </c>
      <c r="F200" t="s">
        <v>46</v>
      </c>
      <c r="G200" t="s">
        <v>51</v>
      </c>
      <c r="H200">
        <v>53</v>
      </c>
      <c r="I200">
        <v>78.050916426239695</v>
      </c>
      <c r="J200">
        <v>4136.7</v>
      </c>
      <c r="K200">
        <v>606.63</v>
      </c>
    </row>
    <row r="201" spans="1:11" x14ac:dyDescent="0.3">
      <c r="A201" s="1">
        <v>45658</v>
      </c>
      <c r="B201">
        <v>2025</v>
      </c>
      <c r="C201">
        <v>1</v>
      </c>
      <c r="D201" t="s">
        <v>11</v>
      </c>
      <c r="E201" t="s">
        <v>35</v>
      </c>
      <c r="F201" t="s">
        <v>46</v>
      </c>
      <c r="G201" t="s">
        <v>52</v>
      </c>
      <c r="H201">
        <v>181</v>
      </c>
      <c r="I201">
        <v>100.48003238991269</v>
      </c>
      <c r="J201">
        <v>18186.89</v>
      </c>
      <c r="K201">
        <v>1364.57</v>
      </c>
    </row>
    <row r="202" spans="1:11" x14ac:dyDescent="0.3">
      <c r="A202" s="1">
        <v>45658</v>
      </c>
      <c r="B202">
        <v>2025</v>
      </c>
      <c r="C202">
        <v>1</v>
      </c>
      <c r="D202" t="s">
        <v>11</v>
      </c>
      <c r="E202" t="s">
        <v>35</v>
      </c>
      <c r="F202" t="s">
        <v>47</v>
      </c>
      <c r="G202" t="s">
        <v>49</v>
      </c>
      <c r="H202">
        <v>278</v>
      </c>
      <c r="I202">
        <v>108.8310652112787</v>
      </c>
      <c r="J202">
        <v>30255.040000000001</v>
      </c>
      <c r="K202">
        <v>4338.5600000000004</v>
      </c>
    </row>
    <row r="203" spans="1:11" x14ac:dyDescent="0.3">
      <c r="A203" s="1">
        <v>45658</v>
      </c>
      <c r="B203">
        <v>2025</v>
      </c>
      <c r="C203">
        <v>1</v>
      </c>
      <c r="D203" t="s">
        <v>11</v>
      </c>
      <c r="E203" t="s">
        <v>35</v>
      </c>
      <c r="F203" t="s">
        <v>47</v>
      </c>
      <c r="G203" t="s">
        <v>50</v>
      </c>
      <c r="H203">
        <v>408</v>
      </c>
      <c r="I203">
        <v>26.797562439472848</v>
      </c>
      <c r="J203">
        <v>10933.41</v>
      </c>
      <c r="K203">
        <v>2438.86</v>
      </c>
    </row>
    <row r="204" spans="1:11" x14ac:dyDescent="0.3">
      <c r="A204" s="1">
        <v>45658</v>
      </c>
      <c r="B204">
        <v>2025</v>
      </c>
      <c r="C204">
        <v>1</v>
      </c>
      <c r="D204" t="s">
        <v>11</v>
      </c>
      <c r="E204" t="s">
        <v>35</v>
      </c>
      <c r="F204" t="s">
        <v>47</v>
      </c>
      <c r="G204" t="s">
        <v>51</v>
      </c>
      <c r="H204">
        <v>270</v>
      </c>
      <c r="I204">
        <v>86.661744580355432</v>
      </c>
      <c r="J204">
        <v>23398.67</v>
      </c>
      <c r="K204">
        <v>4279.79</v>
      </c>
    </row>
    <row r="205" spans="1:11" x14ac:dyDescent="0.3">
      <c r="A205" s="1">
        <v>45658</v>
      </c>
      <c r="B205">
        <v>2025</v>
      </c>
      <c r="C205">
        <v>1</v>
      </c>
      <c r="D205" t="s">
        <v>11</v>
      </c>
      <c r="E205" t="s">
        <v>35</v>
      </c>
      <c r="F205" t="s">
        <v>47</v>
      </c>
      <c r="G205" t="s">
        <v>52</v>
      </c>
      <c r="H205">
        <v>85</v>
      </c>
      <c r="I205">
        <v>162.95848682867879</v>
      </c>
      <c r="J205">
        <v>13851.47</v>
      </c>
      <c r="K205">
        <v>2041.33</v>
      </c>
    </row>
    <row r="206" spans="1:11" x14ac:dyDescent="0.3">
      <c r="A206" s="1">
        <v>45658</v>
      </c>
      <c r="B206">
        <v>2025</v>
      </c>
      <c r="C206">
        <v>1</v>
      </c>
      <c r="D206" t="s">
        <v>11</v>
      </c>
      <c r="E206" t="s">
        <v>35</v>
      </c>
      <c r="F206" t="s">
        <v>48</v>
      </c>
      <c r="G206" t="s">
        <v>49</v>
      </c>
      <c r="H206">
        <v>122</v>
      </c>
      <c r="I206">
        <v>35.910580361486247</v>
      </c>
      <c r="J206">
        <v>4381.09</v>
      </c>
      <c r="K206">
        <v>352.16</v>
      </c>
    </row>
    <row r="207" spans="1:11" x14ac:dyDescent="0.3">
      <c r="A207" s="1">
        <v>45658</v>
      </c>
      <c r="B207">
        <v>2025</v>
      </c>
      <c r="C207">
        <v>1</v>
      </c>
      <c r="D207" t="s">
        <v>11</v>
      </c>
      <c r="E207" t="s">
        <v>35</v>
      </c>
      <c r="F207" t="s">
        <v>48</v>
      </c>
      <c r="G207" t="s">
        <v>50</v>
      </c>
      <c r="H207">
        <v>366</v>
      </c>
      <c r="I207">
        <v>27.290397299752751</v>
      </c>
      <c r="J207">
        <v>9988.2900000000009</v>
      </c>
      <c r="K207">
        <v>2036.48</v>
      </c>
    </row>
    <row r="208" spans="1:11" x14ac:dyDescent="0.3">
      <c r="A208" s="1">
        <v>45658</v>
      </c>
      <c r="B208">
        <v>2025</v>
      </c>
      <c r="C208">
        <v>1</v>
      </c>
      <c r="D208" t="s">
        <v>11</v>
      </c>
      <c r="E208" t="s">
        <v>35</v>
      </c>
      <c r="F208" t="s">
        <v>48</v>
      </c>
      <c r="G208" t="s">
        <v>51</v>
      </c>
      <c r="H208">
        <v>327</v>
      </c>
      <c r="I208">
        <v>114.0147983108312</v>
      </c>
      <c r="J208">
        <v>37282.839999999997</v>
      </c>
      <c r="K208">
        <v>6051.8</v>
      </c>
    </row>
    <row r="209" spans="1:11" x14ac:dyDescent="0.3">
      <c r="A209" s="1">
        <v>45658</v>
      </c>
      <c r="B209">
        <v>2025</v>
      </c>
      <c r="C209">
        <v>1</v>
      </c>
      <c r="D209" t="s">
        <v>11</v>
      </c>
      <c r="E209" t="s">
        <v>35</v>
      </c>
      <c r="F209" t="s">
        <v>48</v>
      </c>
      <c r="G209" t="s">
        <v>52</v>
      </c>
      <c r="H209">
        <v>49</v>
      </c>
      <c r="I209">
        <v>128.19647304329601</v>
      </c>
      <c r="J209">
        <v>6281.63</v>
      </c>
      <c r="K209">
        <v>583.74</v>
      </c>
    </row>
    <row r="210" spans="1:11" x14ac:dyDescent="0.3">
      <c r="A210" s="1">
        <v>45689</v>
      </c>
      <c r="B210">
        <v>2025</v>
      </c>
      <c r="C210">
        <v>2</v>
      </c>
      <c r="D210" t="s">
        <v>12</v>
      </c>
      <c r="E210" t="s">
        <v>36</v>
      </c>
      <c r="F210" t="s">
        <v>45</v>
      </c>
      <c r="G210" t="s">
        <v>49</v>
      </c>
      <c r="H210">
        <v>70</v>
      </c>
      <c r="I210">
        <v>142.551955583758</v>
      </c>
      <c r="J210">
        <v>9978.64</v>
      </c>
      <c r="K210">
        <v>1258.3699999999999</v>
      </c>
    </row>
    <row r="211" spans="1:11" x14ac:dyDescent="0.3">
      <c r="A211" s="1">
        <v>45689</v>
      </c>
      <c r="B211">
        <v>2025</v>
      </c>
      <c r="C211">
        <v>2</v>
      </c>
      <c r="D211" t="s">
        <v>12</v>
      </c>
      <c r="E211" t="s">
        <v>36</v>
      </c>
      <c r="F211" t="s">
        <v>45</v>
      </c>
      <c r="G211" t="s">
        <v>50</v>
      </c>
      <c r="H211">
        <v>420</v>
      </c>
      <c r="I211">
        <v>103.50209568511229</v>
      </c>
      <c r="J211">
        <v>43470.879999999997</v>
      </c>
      <c r="K211">
        <v>9493.76</v>
      </c>
    </row>
    <row r="212" spans="1:11" x14ac:dyDescent="0.3">
      <c r="A212" s="1">
        <v>45689</v>
      </c>
      <c r="B212">
        <v>2025</v>
      </c>
      <c r="C212">
        <v>2</v>
      </c>
      <c r="D212" t="s">
        <v>12</v>
      </c>
      <c r="E212" t="s">
        <v>36</v>
      </c>
      <c r="F212" t="s">
        <v>45</v>
      </c>
      <c r="G212" t="s">
        <v>51</v>
      </c>
      <c r="H212">
        <v>359</v>
      </c>
      <c r="I212">
        <v>97.235793685269641</v>
      </c>
      <c r="J212">
        <v>34907.65</v>
      </c>
      <c r="K212">
        <v>5580.9</v>
      </c>
    </row>
    <row r="213" spans="1:11" x14ac:dyDescent="0.3">
      <c r="A213" s="1">
        <v>45689</v>
      </c>
      <c r="B213">
        <v>2025</v>
      </c>
      <c r="C213">
        <v>2</v>
      </c>
      <c r="D213" t="s">
        <v>12</v>
      </c>
      <c r="E213" t="s">
        <v>36</v>
      </c>
      <c r="F213" t="s">
        <v>45</v>
      </c>
      <c r="G213" t="s">
        <v>52</v>
      </c>
      <c r="H213">
        <v>224</v>
      </c>
      <c r="I213">
        <v>49.734850304917693</v>
      </c>
      <c r="J213">
        <v>11140.61</v>
      </c>
      <c r="K213">
        <v>1315.29</v>
      </c>
    </row>
    <row r="214" spans="1:11" x14ac:dyDescent="0.3">
      <c r="A214" s="1">
        <v>45689</v>
      </c>
      <c r="B214">
        <v>2025</v>
      </c>
      <c r="C214">
        <v>2</v>
      </c>
      <c r="D214" t="s">
        <v>12</v>
      </c>
      <c r="E214" t="s">
        <v>36</v>
      </c>
      <c r="F214" t="s">
        <v>46</v>
      </c>
      <c r="G214" t="s">
        <v>49</v>
      </c>
      <c r="H214">
        <v>62</v>
      </c>
      <c r="I214">
        <v>55.627667567856683</v>
      </c>
      <c r="J214">
        <v>3448.92</v>
      </c>
      <c r="K214">
        <v>404.67</v>
      </c>
    </row>
    <row r="215" spans="1:11" x14ac:dyDescent="0.3">
      <c r="A215" s="1">
        <v>45689</v>
      </c>
      <c r="B215">
        <v>2025</v>
      </c>
      <c r="C215">
        <v>2</v>
      </c>
      <c r="D215" t="s">
        <v>12</v>
      </c>
      <c r="E215" t="s">
        <v>36</v>
      </c>
      <c r="F215" t="s">
        <v>46</v>
      </c>
      <c r="G215" t="s">
        <v>50</v>
      </c>
      <c r="H215">
        <v>379</v>
      </c>
      <c r="I215">
        <v>142.335278583145</v>
      </c>
      <c r="J215">
        <v>53945.07</v>
      </c>
      <c r="K215">
        <v>8156.62</v>
      </c>
    </row>
    <row r="216" spans="1:11" x14ac:dyDescent="0.3">
      <c r="A216" s="1">
        <v>45689</v>
      </c>
      <c r="B216">
        <v>2025</v>
      </c>
      <c r="C216">
        <v>2</v>
      </c>
      <c r="D216" t="s">
        <v>12</v>
      </c>
      <c r="E216" t="s">
        <v>36</v>
      </c>
      <c r="F216" t="s">
        <v>46</v>
      </c>
      <c r="G216" t="s">
        <v>51</v>
      </c>
      <c r="H216">
        <v>300</v>
      </c>
      <c r="I216">
        <v>180.38979788214229</v>
      </c>
      <c r="J216">
        <v>54116.94</v>
      </c>
      <c r="K216">
        <v>9800.68</v>
      </c>
    </row>
    <row r="217" spans="1:11" x14ac:dyDescent="0.3">
      <c r="A217" s="1">
        <v>45689</v>
      </c>
      <c r="B217">
        <v>2025</v>
      </c>
      <c r="C217">
        <v>2</v>
      </c>
      <c r="D217" t="s">
        <v>12</v>
      </c>
      <c r="E217" t="s">
        <v>36</v>
      </c>
      <c r="F217" t="s">
        <v>46</v>
      </c>
      <c r="G217" t="s">
        <v>52</v>
      </c>
      <c r="H217">
        <v>453</v>
      </c>
      <c r="I217">
        <v>124.3677251527824</v>
      </c>
      <c r="J217">
        <v>56338.58</v>
      </c>
      <c r="K217">
        <v>4710.63</v>
      </c>
    </row>
    <row r="218" spans="1:11" x14ac:dyDescent="0.3">
      <c r="A218" s="1">
        <v>45689</v>
      </c>
      <c r="B218">
        <v>2025</v>
      </c>
      <c r="C218">
        <v>2</v>
      </c>
      <c r="D218" t="s">
        <v>12</v>
      </c>
      <c r="E218" t="s">
        <v>36</v>
      </c>
      <c r="F218" t="s">
        <v>47</v>
      </c>
      <c r="G218" t="s">
        <v>49</v>
      </c>
      <c r="H218">
        <v>70</v>
      </c>
      <c r="I218">
        <v>17.76503709063098</v>
      </c>
      <c r="J218">
        <v>1243.55</v>
      </c>
      <c r="K218">
        <v>160.91</v>
      </c>
    </row>
    <row r="219" spans="1:11" x14ac:dyDescent="0.3">
      <c r="A219" s="1">
        <v>45689</v>
      </c>
      <c r="B219">
        <v>2025</v>
      </c>
      <c r="C219">
        <v>2</v>
      </c>
      <c r="D219" t="s">
        <v>12</v>
      </c>
      <c r="E219" t="s">
        <v>36</v>
      </c>
      <c r="F219" t="s">
        <v>47</v>
      </c>
      <c r="G219" t="s">
        <v>50</v>
      </c>
      <c r="H219">
        <v>336</v>
      </c>
      <c r="I219">
        <v>16.042889482181369</v>
      </c>
      <c r="J219">
        <v>5390.41</v>
      </c>
      <c r="K219">
        <v>992.6</v>
      </c>
    </row>
    <row r="220" spans="1:11" x14ac:dyDescent="0.3">
      <c r="A220" s="1">
        <v>45689</v>
      </c>
      <c r="B220">
        <v>2025</v>
      </c>
      <c r="C220">
        <v>2</v>
      </c>
      <c r="D220" t="s">
        <v>12</v>
      </c>
      <c r="E220" t="s">
        <v>36</v>
      </c>
      <c r="F220" t="s">
        <v>47</v>
      </c>
      <c r="G220" t="s">
        <v>51</v>
      </c>
      <c r="H220">
        <v>345</v>
      </c>
      <c r="I220">
        <v>32.920815509114149</v>
      </c>
      <c r="J220">
        <v>11357.68</v>
      </c>
      <c r="K220">
        <v>1605.05</v>
      </c>
    </row>
    <row r="221" spans="1:11" x14ac:dyDescent="0.3">
      <c r="A221" s="1">
        <v>45689</v>
      </c>
      <c r="B221">
        <v>2025</v>
      </c>
      <c r="C221">
        <v>2</v>
      </c>
      <c r="D221" t="s">
        <v>12</v>
      </c>
      <c r="E221" t="s">
        <v>36</v>
      </c>
      <c r="F221" t="s">
        <v>47</v>
      </c>
      <c r="G221" t="s">
        <v>52</v>
      </c>
      <c r="H221">
        <v>53</v>
      </c>
      <c r="I221">
        <v>34.462195676932339</v>
      </c>
      <c r="J221">
        <v>1826.5</v>
      </c>
      <c r="K221">
        <v>212.18</v>
      </c>
    </row>
    <row r="222" spans="1:11" x14ac:dyDescent="0.3">
      <c r="A222" s="1">
        <v>45689</v>
      </c>
      <c r="B222">
        <v>2025</v>
      </c>
      <c r="C222">
        <v>2</v>
      </c>
      <c r="D222" t="s">
        <v>12</v>
      </c>
      <c r="E222" t="s">
        <v>36</v>
      </c>
      <c r="F222" t="s">
        <v>48</v>
      </c>
      <c r="G222" t="s">
        <v>49</v>
      </c>
      <c r="H222">
        <v>237</v>
      </c>
      <c r="I222">
        <v>141.17501743957939</v>
      </c>
      <c r="J222">
        <v>33458.480000000003</v>
      </c>
      <c r="K222">
        <v>3379.49</v>
      </c>
    </row>
    <row r="223" spans="1:11" x14ac:dyDescent="0.3">
      <c r="A223" s="1">
        <v>45689</v>
      </c>
      <c r="B223">
        <v>2025</v>
      </c>
      <c r="C223">
        <v>2</v>
      </c>
      <c r="D223" t="s">
        <v>12</v>
      </c>
      <c r="E223" t="s">
        <v>36</v>
      </c>
      <c r="F223" t="s">
        <v>48</v>
      </c>
      <c r="G223" t="s">
        <v>50</v>
      </c>
      <c r="H223">
        <v>369</v>
      </c>
      <c r="I223">
        <v>39.825759716076803</v>
      </c>
      <c r="J223">
        <v>14695.71</v>
      </c>
      <c r="K223">
        <v>2634.64</v>
      </c>
    </row>
    <row r="224" spans="1:11" x14ac:dyDescent="0.3">
      <c r="A224" s="1">
        <v>45689</v>
      </c>
      <c r="B224">
        <v>2025</v>
      </c>
      <c r="C224">
        <v>2</v>
      </c>
      <c r="D224" t="s">
        <v>12</v>
      </c>
      <c r="E224" t="s">
        <v>36</v>
      </c>
      <c r="F224" t="s">
        <v>48</v>
      </c>
      <c r="G224" t="s">
        <v>51</v>
      </c>
      <c r="H224">
        <v>67</v>
      </c>
      <c r="I224">
        <v>21.60481237242411</v>
      </c>
      <c r="J224">
        <v>1447.52</v>
      </c>
      <c r="K224">
        <v>234.54</v>
      </c>
    </row>
    <row r="225" spans="1:11" x14ac:dyDescent="0.3">
      <c r="A225" s="1">
        <v>45689</v>
      </c>
      <c r="B225">
        <v>2025</v>
      </c>
      <c r="C225">
        <v>2</v>
      </c>
      <c r="D225" t="s">
        <v>12</v>
      </c>
      <c r="E225" t="s">
        <v>36</v>
      </c>
      <c r="F225" t="s">
        <v>48</v>
      </c>
      <c r="G225" t="s">
        <v>52</v>
      </c>
      <c r="H225">
        <v>132</v>
      </c>
      <c r="I225">
        <v>123.4828356285318</v>
      </c>
      <c r="J225">
        <v>16299.73</v>
      </c>
      <c r="K225">
        <v>1346.24</v>
      </c>
    </row>
    <row r="226" spans="1:11" x14ac:dyDescent="0.3">
      <c r="A226" s="1">
        <v>45717</v>
      </c>
      <c r="B226">
        <v>2025</v>
      </c>
      <c r="C226">
        <v>3</v>
      </c>
      <c r="D226" t="s">
        <v>13</v>
      </c>
      <c r="E226" t="s">
        <v>37</v>
      </c>
      <c r="F226" t="s">
        <v>45</v>
      </c>
      <c r="G226" t="s">
        <v>49</v>
      </c>
      <c r="H226">
        <v>199</v>
      </c>
      <c r="I226">
        <v>49.776371433974958</v>
      </c>
      <c r="J226">
        <v>9905.5</v>
      </c>
      <c r="K226">
        <v>1233.22</v>
      </c>
    </row>
    <row r="227" spans="1:11" x14ac:dyDescent="0.3">
      <c r="A227" s="1">
        <v>45717</v>
      </c>
      <c r="B227">
        <v>2025</v>
      </c>
      <c r="C227">
        <v>3</v>
      </c>
      <c r="D227" t="s">
        <v>13</v>
      </c>
      <c r="E227" t="s">
        <v>37</v>
      </c>
      <c r="F227" t="s">
        <v>45</v>
      </c>
      <c r="G227" t="s">
        <v>50</v>
      </c>
      <c r="H227">
        <v>493</v>
      </c>
      <c r="I227">
        <v>154.39152769814129</v>
      </c>
      <c r="J227">
        <v>76115.02</v>
      </c>
      <c r="K227">
        <v>10957.64</v>
      </c>
    </row>
    <row r="228" spans="1:11" x14ac:dyDescent="0.3">
      <c r="A228" s="1">
        <v>45717</v>
      </c>
      <c r="B228">
        <v>2025</v>
      </c>
      <c r="C228">
        <v>3</v>
      </c>
      <c r="D228" t="s">
        <v>13</v>
      </c>
      <c r="E228" t="s">
        <v>37</v>
      </c>
      <c r="F228" t="s">
        <v>45</v>
      </c>
      <c r="G228" t="s">
        <v>51</v>
      </c>
      <c r="H228">
        <v>97</v>
      </c>
      <c r="I228">
        <v>97.881596065298098</v>
      </c>
      <c r="J228">
        <v>9494.51</v>
      </c>
      <c r="K228">
        <v>1680.79</v>
      </c>
    </row>
    <row r="229" spans="1:11" x14ac:dyDescent="0.3">
      <c r="A229" s="1">
        <v>45717</v>
      </c>
      <c r="B229">
        <v>2025</v>
      </c>
      <c r="C229">
        <v>3</v>
      </c>
      <c r="D229" t="s">
        <v>13</v>
      </c>
      <c r="E229" t="s">
        <v>37</v>
      </c>
      <c r="F229" t="s">
        <v>45</v>
      </c>
      <c r="G229" t="s">
        <v>52</v>
      </c>
      <c r="H229">
        <v>130</v>
      </c>
      <c r="I229">
        <v>170.4437278003895</v>
      </c>
      <c r="J229">
        <v>22157.68</v>
      </c>
      <c r="K229">
        <v>1999.54</v>
      </c>
    </row>
    <row r="230" spans="1:11" x14ac:dyDescent="0.3">
      <c r="A230" s="1">
        <v>45717</v>
      </c>
      <c r="B230">
        <v>2025</v>
      </c>
      <c r="C230">
        <v>3</v>
      </c>
      <c r="D230" t="s">
        <v>13</v>
      </c>
      <c r="E230" t="s">
        <v>37</v>
      </c>
      <c r="F230" t="s">
        <v>46</v>
      </c>
      <c r="G230" t="s">
        <v>49</v>
      </c>
      <c r="H230">
        <v>382</v>
      </c>
      <c r="I230">
        <v>111.10156220041</v>
      </c>
      <c r="J230">
        <v>42440.800000000003</v>
      </c>
      <c r="K230">
        <v>4559.91</v>
      </c>
    </row>
    <row r="231" spans="1:11" x14ac:dyDescent="0.3">
      <c r="A231" s="1">
        <v>45717</v>
      </c>
      <c r="B231">
        <v>2025</v>
      </c>
      <c r="C231">
        <v>3</v>
      </c>
      <c r="D231" t="s">
        <v>13</v>
      </c>
      <c r="E231" t="s">
        <v>37</v>
      </c>
      <c r="F231" t="s">
        <v>46</v>
      </c>
      <c r="G231" t="s">
        <v>50</v>
      </c>
      <c r="H231">
        <v>246</v>
      </c>
      <c r="I231">
        <v>85.46112817577567</v>
      </c>
      <c r="J231">
        <v>21023.439999999999</v>
      </c>
      <c r="K231">
        <v>3172.21</v>
      </c>
    </row>
    <row r="232" spans="1:11" x14ac:dyDescent="0.3">
      <c r="A232" s="1">
        <v>45717</v>
      </c>
      <c r="B232">
        <v>2025</v>
      </c>
      <c r="C232">
        <v>3</v>
      </c>
      <c r="D232" t="s">
        <v>13</v>
      </c>
      <c r="E232" t="s">
        <v>37</v>
      </c>
      <c r="F232" t="s">
        <v>46</v>
      </c>
      <c r="G232" t="s">
        <v>51</v>
      </c>
      <c r="H232">
        <v>211</v>
      </c>
      <c r="I232">
        <v>61.156213880382381</v>
      </c>
      <c r="J232">
        <v>12903.96</v>
      </c>
      <c r="K232">
        <v>1758.32</v>
      </c>
    </row>
    <row r="233" spans="1:11" x14ac:dyDescent="0.3">
      <c r="A233" s="1">
        <v>45717</v>
      </c>
      <c r="B233">
        <v>2025</v>
      </c>
      <c r="C233">
        <v>3</v>
      </c>
      <c r="D233" t="s">
        <v>13</v>
      </c>
      <c r="E233" t="s">
        <v>37</v>
      </c>
      <c r="F233" t="s">
        <v>46</v>
      </c>
      <c r="G233" t="s">
        <v>52</v>
      </c>
      <c r="H233">
        <v>460</v>
      </c>
      <c r="I233">
        <v>169.73489731680689</v>
      </c>
      <c r="J233">
        <v>78078.05</v>
      </c>
      <c r="K233">
        <v>6952.4</v>
      </c>
    </row>
    <row r="234" spans="1:11" x14ac:dyDescent="0.3">
      <c r="A234" s="1">
        <v>45717</v>
      </c>
      <c r="B234">
        <v>2025</v>
      </c>
      <c r="C234">
        <v>3</v>
      </c>
      <c r="D234" t="s">
        <v>13</v>
      </c>
      <c r="E234" t="s">
        <v>37</v>
      </c>
      <c r="F234" t="s">
        <v>47</v>
      </c>
      <c r="G234" t="s">
        <v>49</v>
      </c>
      <c r="H234">
        <v>105</v>
      </c>
      <c r="I234">
        <v>72.22449691380379</v>
      </c>
      <c r="J234">
        <v>7583.57</v>
      </c>
      <c r="K234">
        <v>1317.59</v>
      </c>
    </row>
    <row r="235" spans="1:11" x14ac:dyDescent="0.3">
      <c r="A235" s="1">
        <v>45717</v>
      </c>
      <c r="B235">
        <v>2025</v>
      </c>
      <c r="C235">
        <v>3</v>
      </c>
      <c r="D235" t="s">
        <v>13</v>
      </c>
      <c r="E235" t="s">
        <v>37</v>
      </c>
      <c r="F235" t="s">
        <v>47</v>
      </c>
      <c r="G235" t="s">
        <v>50</v>
      </c>
      <c r="H235">
        <v>86</v>
      </c>
      <c r="I235">
        <v>133.27633965539951</v>
      </c>
      <c r="J235">
        <v>11461.77</v>
      </c>
      <c r="K235">
        <v>2494.46</v>
      </c>
    </row>
    <row r="236" spans="1:11" x14ac:dyDescent="0.3">
      <c r="A236" s="1">
        <v>45717</v>
      </c>
      <c r="B236">
        <v>2025</v>
      </c>
      <c r="C236">
        <v>3</v>
      </c>
      <c r="D236" t="s">
        <v>13</v>
      </c>
      <c r="E236" t="s">
        <v>37</v>
      </c>
      <c r="F236" t="s">
        <v>47</v>
      </c>
      <c r="G236" t="s">
        <v>51</v>
      </c>
      <c r="H236">
        <v>165</v>
      </c>
      <c r="I236">
        <v>26.514854736610499</v>
      </c>
      <c r="J236">
        <v>4374.95</v>
      </c>
      <c r="K236">
        <v>951.49</v>
      </c>
    </row>
    <row r="237" spans="1:11" x14ac:dyDescent="0.3">
      <c r="A237" s="1">
        <v>45717</v>
      </c>
      <c r="B237">
        <v>2025</v>
      </c>
      <c r="C237">
        <v>3</v>
      </c>
      <c r="D237" t="s">
        <v>13</v>
      </c>
      <c r="E237" t="s">
        <v>37</v>
      </c>
      <c r="F237" t="s">
        <v>47</v>
      </c>
      <c r="G237" t="s">
        <v>52</v>
      </c>
      <c r="H237">
        <v>283</v>
      </c>
      <c r="I237">
        <v>121.4417325855442</v>
      </c>
      <c r="J237">
        <v>34368.01</v>
      </c>
      <c r="K237">
        <v>4821.51</v>
      </c>
    </row>
    <row r="238" spans="1:11" x14ac:dyDescent="0.3">
      <c r="A238" s="1">
        <v>45717</v>
      </c>
      <c r="B238">
        <v>2025</v>
      </c>
      <c r="C238">
        <v>3</v>
      </c>
      <c r="D238" t="s">
        <v>13</v>
      </c>
      <c r="E238" t="s">
        <v>37</v>
      </c>
      <c r="F238" t="s">
        <v>48</v>
      </c>
      <c r="G238" t="s">
        <v>49</v>
      </c>
      <c r="H238">
        <v>255</v>
      </c>
      <c r="I238">
        <v>34.240257531157113</v>
      </c>
      <c r="J238">
        <v>8731.27</v>
      </c>
      <c r="K238">
        <v>851.19</v>
      </c>
    </row>
    <row r="239" spans="1:11" x14ac:dyDescent="0.3">
      <c r="A239" s="1">
        <v>45717</v>
      </c>
      <c r="B239">
        <v>2025</v>
      </c>
      <c r="C239">
        <v>3</v>
      </c>
      <c r="D239" t="s">
        <v>13</v>
      </c>
      <c r="E239" t="s">
        <v>37</v>
      </c>
      <c r="F239" t="s">
        <v>48</v>
      </c>
      <c r="G239" t="s">
        <v>50</v>
      </c>
      <c r="H239">
        <v>301</v>
      </c>
      <c r="I239">
        <v>125.4354922357788</v>
      </c>
      <c r="J239">
        <v>37756.080000000002</v>
      </c>
      <c r="K239">
        <v>5563.13</v>
      </c>
    </row>
    <row r="240" spans="1:11" x14ac:dyDescent="0.3">
      <c r="A240" s="1">
        <v>45717</v>
      </c>
      <c r="B240">
        <v>2025</v>
      </c>
      <c r="C240">
        <v>3</v>
      </c>
      <c r="D240" t="s">
        <v>13</v>
      </c>
      <c r="E240" t="s">
        <v>37</v>
      </c>
      <c r="F240" t="s">
        <v>48</v>
      </c>
      <c r="G240" t="s">
        <v>51</v>
      </c>
      <c r="H240">
        <v>462</v>
      </c>
      <c r="I240">
        <v>77.65837792059078</v>
      </c>
      <c r="J240">
        <v>35878.17</v>
      </c>
      <c r="K240">
        <v>5222.2</v>
      </c>
    </row>
    <row r="241" spans="1:11" x14ac:dyDescent="0.3">
      <c r="A241" s="1">
        <v>45717</v>
      </c>
      <c r="B241">
        <v>2025</v>
      </c>
      <c r="C241">
        <v>3</v>
      </c>
      <c r="D241" t="s">
        <v>13</v>
      </c>
      <c r="E241" t="s">
        <v>37</v>
      </c>
      <c r="F241" t="s">
        <v>48</v>
      </c>
      <c r="G241" t="s">
        <v>52</v>
      </c>
      <c r="H241">
        <v>308</v>
      </c>
      <c r="I241">
        <v>11.431528995474199</v>
      </c>
      <c r="J241">
        <v>3520.91</v>
      </c>
      <c r="K241">
        <v>343.46</v>
      </c>
    </row>
    <row r="242" spans="1:11" x14ac:dyDescent="0.3">
      <c r="A242" s="1">
        <v>45748</v>
      </c>
      <c r="B242">
        <v>2025</v>
      </c>
      <c r="C242">
        <v>4</v>
      </c>
      <c r="D242" t="s">
        <v>14</v>
      </c>
      <c r="E242" t="s">
        <v>38</v>
      </c>
      <c r="F242" t="s">
        <v>45</v>
      </c>
      <c r="G242" t="s">
        <v>49</v>
      </c>
      <c r="H242">
        <v>296</v>
      </c>
      <c r="I242">
        <v>39.043236445023084</v>
      </c>
      <c r="J242">
        <v>11556.8</v>
      </c>
      <c r="K242">
        <v>1352</v>
      </c>
    </row>
    <row r="243" spans="1:11" x14ac:dyDescent="0.3">
      <c r="A243" s="1">
        <v>45748</v>
      </c>
      <c r="B243">
        <v>2025</v>
      </c>
      <c r="C243">
        <v>4</v>
      </c>
      <c r="D243" t="s">
        <v>14</v>
      </c>
      <c r="E243" t="s">
        <v>38</v>
      </c>
      <c r="F243" t="s">
        <v>45</v>
      </c>
      <c r="G243" t="s">
        <v>50</v>
      </c>
      <c r="H243">
        <v>350</v>
      </c>
      <c r="I243">
        <v>26.698648662627331</v>
      </c>
      <c r="J243">
        <v>9344.5300000000007</v>
      </c>
      <c r="K243">
        <v>1684.42</v>
      </c>
    </row>
    <row r="244" spans="1:11" x14ac:dyDescent="0.3">
      <c r="A244" s="1">
        <v>45748</v>
      </c>
      <c r="B244">
        <v>2025</v>
      </c>
      <c r="C244">
        <v>4</v>
      </c>
      <c r="D244" t="s">
        <v>14</v>
      </c>
      <c r="E244" t="s">
        <v>38</v>
      </c>
      <c r="F244" t="s">
        <v>45</v>
      </c>
      <c r="G244" t="s">
        <v>51</v>
      </c>
      <c r="H244">
        <v>369</v>
      </c>
      <c r="I244">
        <v>42.940983106003422</v>
      </c>
      <c r="J244">
        <v>15845.22</v>
      </c>
      <c r="K244">
        <v>1742.1</v>
      </c>
    </row>
    <row r="245" spans="1:11" x14ac:dyDescent="0.3">
      <c r="A245" s="1">
        <v>45748</v>
      </c>
      <c r="B245">
        <v>2025</v>
      </c>
      <c r="C245">
        <v>4</v>
      </c>
      <c r="D245" t="s">
        <v>14</v>
      </c>
      <c r="E245" t="s">
        <v>38</v>
      </c>
      <c r="F245" t="s">
        <v>45</v>
      </c>
      <c r="G245" t="s">
        <v>52</v>
      </c>
      <c r="H245">
        <v>55</v>
      </c>
      <c r="I245">
        <v>199.47855160599491</v>
      </c>
      <c r="J245">
        <v>10971.32</v>
      </c>
      <c r="K245">
        <v>1357.07</v>
      </c>
    </row>
    <row r="246" spans="1:11" x14ac:dyDescent="0.3">
      <c r="A246" s="1">
        <v>45748</v>
      </c>
      <c r="B246">
        <v>2025</v>
      </c>
      <c r="C246">
        <v>4</v>
      </c>
      <c r="D246" t="s">
        <v>14</v>
      </c>
      <c r="E246" t="s">
        <v>38</v>
      </c>
      <c r="F246" t="s">
        <v>46</v>
      </c>
      <c r="G246" t="s">
        <v>49</v>
      </c>
      <c r="H246">
        <v>25</v>
      </c>
      <c r="I246">
        <v>85.592563818690905</v>
      </c>
      <c r="J246">
        <v>2139.81</v>
      </c>
      <c r="K246">
        <v>210.7</v>
      </c>
    </row>
    <row r="247" spans="1:11" x14ac:dyDescent="0.3">
      <c r="A247" s="1">
        <v>45748</v>
      </c>
      <c r="B247">
        <v>2025</v>
      </c>
      <c r="C247">
        <v>4</v>
      </c>
      <c r="D247" t="s">
        <v>14</v>
      </c>
      <c r="E247" t="s">
        <v>38</v>
      </c>
      <c r="F247" t="s">
        <v>46</v>
      </c>
      <c r="G247" t="s">
        <v>50</v>
      </c>
      <c r="H247">
        <v>454</v>
      </c>
      <c r="I247">
        <v>165.96367989913699</v>
      </c>
      <c r="J247">
        <v>75347.509999999995</v>
      </c>
      <c r="K247">
        <v>13947.41</v>
      </c>
    </row>
    <row r="248" spans="1:11" x14ac:dyDescent="0.3">
      <c r="A248" s="1">
        <v>45748</v>
      </c>
      <c r="B248">
        <v>2025</v>
      </c>
      <c r="C248">
        <v>4</v>
      </c>
      <c r="D248" t="s">
        <v>14</v>
      </c>
      <c r="E248" t="s">
        <v>38</v>
      </c>
      <c r="F248" t="s">
        <v>46</v>
      </c>
      <c r="G248" t="s">
        <v>51</v>
      </c>
      <c r="H248">
        <v>213</v>
      </c>
      <c r="I248">
        <v>115.7849496726467</v>
      </c>
      <c r="J248">
        <v>24662.19</v>
      </c>
      <c r="K248">
        <v>2629.28</v>
      </c>
    </row>
    <row r="249" spans="1:11" x14ac:dyDescent="0.3">
      <c r="A249" s="1">
        <v>45748</v>
      </c>
      <c r="B249">
        <v>2025</v>
      </c>
      <c r="C249">
        <v>4</v>
      </c>
      <c r="D249" t="s">
        <v>14</v>
      </c>
      <c r="E249" t="s">
        <v>38</v>
      </c>
      <c r="F249" t="s">
        <v>46</v>
      </c>
      <c r="G249" t="s">
        <v>52</v>
      </c>
      <c r="H249">
        <v>319</v>
      </c>
      <c r="I249">
        <v>48.964736428397231</v>
      </c>
      <c r="J249">
        <v>15619.75</v>
      </c>
      <c r="K249">
        <v>1575.52</v>
      </c>
    </row>
    <row r="250" spans="1:11" x14ac:dyDescent="0.3">
      <c r="A250" s="1">
        <v>45748</v>
      </c>
      <c r="B250">
        <v>2025</v>
      </c>
      <c r="C250">
        <v>4</v>
      </c>
      <c r="D250" t="s">
        <v>14</v>
      </c>
      <c r="E250" t="s">
        <v>38</v>
      </c>
      <c r="F250" t="s">
        <v>47</v>
      </c>
      <c r="G250" t="s">
        <v>49</v>
      </c>
      <c r="H250">
        <v>429</v>
      </c>
      <c r="I250">
        <v>71.499054916806301</v>
      </c>
      <c r="J250">
        <v>30673.09</v>
      </c>
      <c r="K250">
        <v>4465.8500000000004</v>
      </c>
    </row>
    <row r="251" spans="1:11" x14ac:dyDescent="0.3">
      <c r="A251" s="1">
        <v>45748</v>
      </c>
      <c r="B251">
        <v>2025</v>
      </c>
      <c r="C251">
        <v>4</v>
      </c>
      <c r="D251" t="s">
        <v>14</v>
      </c>
      <c r="E251" t="s">
        <v>38</v>
      </c>
      <c r="F251" t="s">
        <v>47</v>
      </c>
      <c r="G251" t="s">
        <v>50</v>
      </c>
      <c r="H251">
        <v>132</v>
      </c>
      <c r="I251">
        <v>110.6696044044122</v>
      </c>
      <c r="J251">
        <v>14608.39</v>
      </c>
      <c r="K251">
        <v>2120.86</v>
      </c>
    </row>
    <row r="252" spans="1:11" x14ac:dyDescent="0.3">
      <c r="A252" s="1">
        <v>45748</v>
      </c>
      <c r="B252">
        <v>2025</v>
      </c>
      <c r="C252">
        <v>4</v>
      </c>
      <c r="D252" t="s">
        <v>14</v>
      </c>
      <c r="E252" t="s">
        <v>38</v>
      </c>
      <c r="F252" t="s">
        <v>47</v>
      </c>
      <c r="G252" t="s">
        <v>51</v>
      </c>
      <c r="H252">
        <v>20</v>
      </c>
      <c r="I252">
        <v>126.01780806391019</v>
      </c>
      <c r="J252">
        <v>2520.36</v>
      </c>
      <c r="K252">
        <v>460.65</v>
      </c>
    </row>
    <row r="253" spans="1:11" x14ac:dyDescent="0.3">
      <c r="A253" s="1">
        <v>45748</v>
      </c>
      <c r="B253">
        <v>2025</v>
      </c>
      <c r="C253">
        <v>4</v>
      </c>
      <c r="D253" t="s">
        <v>14</v>
      </c>
      <c r="E253" t="s">
        <v>38</v>
      </c>
      <c r="F253" t="s">
        <v>47</v>
      </c>
      <c r="G253" t="s">
        <v>52</v>
      </c>
      <c r="H253">
        <v>158</v>
      </c>
      <c r="I253">
        <v>187.08272502881749</v>
      </c>
      <c r="J253">
        <v>29559.07</v>
      </c>
      <c r="K253">
        <v>2564.83</v>
      </c>
    </row>
    <row r="254" spans="1:11" x14ac:dyDescent="0.3">
      <c r="A254" s="1">
        <v>45748</v>
      </c>
      <c r="B254">
        <v>2025</v>
      </c>
      <c r="C254">
        <v>4</v>
      </c>
      <c r="D254" t="s">
        <v>14</v>
      </c>
      <c r="E254" t="s">
        <v>38</v>
      </c>
      <c r="F254" t="s">
        <v>48</v>
      </c>
      <c r="G254" t="s">
        <v>49</v>
      </c>
      <c r="H254">
        <v>352</v>
      </c>
      <c r="I254">
        <v>111.19199218480129</v>
      </c>
      <c r="J254">
        <v>39139.58</v>
      </c>
      <c r="K254">
        <v>4384.7700000000004</v>
      </c>
    </row>
    <row r="255" spans="1:11" x14ac:dyDescent="0.3">
      <c r="A255" s="1">
        <v>45748</v>
      </c>
      <c r="B255">
        <v>2025</v>
      </c>
      <c r="C255">
        <v>4</v>
      </c>
      <c r="D255" t="s">
        <v>14</v>
      </c>
      <c r="E255" t="s">
        <v>38</v>
      </c>
      <c r="F255" t="s">
        <v>48</v>
      </c>
      <c r="G255" t="s">
        <v>50</v>
      </c>
      <c r="H255">
        <v>29</v>
      </c>
      <c r="I255">
        <v>114.2345924082491</v>
      </c>
      <c r="J255">
        <v>3312.8</v>
      </c>
      <c r="K255">
        <v>552.74</v>
      </c>
    </row>
    <row r="256" spans="1:11" x14ac:dyDescent="0.3">
      <c r="A256" s="1">
        <v>45748</v>
      </c>
      <c r="B256">
        <v>2025</v>
      </c>
      <c r="C256">
        <v>4</v>
      </c>
      <c r="D256" t="s">
        <v>14</v>
      </c>
      <c r="E256" t="s">
        <v>38</v>
      </c>
      <c r="F256" t="s">
        <v>48</v>
      </c>
      <c r="G256" t="s">
        <v>51</v>
      </c>
      <c r="H256">
        <v>157</v>
      </c>
      <c r="I256">
        <v>198.09244415408961</v>
      </c>
      <c r="J256">
        <v>31100.51</v>
      </c>
      <c r="K256">
        <v>5135.5</v>
      </c>
    </row>
    <row r="257" spans="1:11" x14ac:dyDescent="0.3">
      <c r="A257" s="1">
        <v>45748</v>
      </c>
      <c r="B257">
        <v>2025</v>
      </c>
      <c r="C257">
        <v>4</v>
      </c>
      <c r="D257" t="s">
        <v>14</v>
      </c>
      <c r="E257" t="s">
        <v>38</v>
      </c>
      <c r="F257" t="s">
        <v>48</v>
      </c>
      <c r="G257" t="s">
        <v>52</v>
      </c>
      <c r="H257">
        <v>340</v>
      </c>
      <c r="I257">
        <v>36.37670695398387</v>
      </c>
      <c r="J257">
        <v>12368.08</v>
      </c>
      <c r="K257">
        <v>1032.27</v>
      </c>
    </row>
    <row r="258" spans="1:11" x14ac:dyDescent="0.3">
      <c r="A258" s="1">
        <v>45778</v>
      </c>
      <c r="B258">
        <v>2025</v>
      </c>
      <c r="C258">
        <v>5</v>
      </c>
      <c r="D258" t="s">
        <v>15</v>
      </c>
      <c r="E258" t="s">
        <v>39</v>
      </c>
      <c r="F258" t="s">
        <v>45</v>
      </c>
      <c r="G258" t="s">
        <v>49</v>
      </c>
      <c r="H258">
        <v>348</v>
      </c>
      <c r="I258">
        <v>154.44329337904051</v>
      </c>
      <c r="J258">
        <v>53746.27</v>
      </c>
      <c r="K258">
        <v>6209.48</v>
      </c>
    </row>
    <row r="259" spans="1:11" x14ac:dyDescent="0.3">
      <c r="A259" s="1">
        <v>45778</v>
      </c>
      <c r="B259">
        <v>2025</v>
      </c>
      <c r="C259">
        <v>5</v>
      </c>
      <c r="D259" t="s">
        <v>15</v>
      </c>
      <c r="E259" t="s">
        <v>39</v>
      </c>
      <c r="F259" t="s">
        <v>45</v>
      </c>
      <c r="G259" t="s">
        <v>50</v>
      </c>
      <c r="H259">
        <v>438</v>
      </c>
      <c r="I259">
        <v>76.284970643169103</v>
      </c>
      <c r="J259">
        <v>33412.82</v>
      </c>
      <c r="K259">
        <v>7974.87</v>
      </c>
    </row>
    <row r="260" spans="1:11" x14ac:dyDescent="0.3">
      <c r="A260" s="1">
        <v>45778</v>
      </c>
      <c r="B260">
        <v>2025</v>
      </c>
      <c r="C260">
        <v>5</v>
      </c>
      <c r="D260" t="s">
        <v>15</v>
      </c>
      <c r="E260" t="s">
        <v>39</v>
      </c>
      <c r="F260" t="s">
        <v>45</v>
      </c>
      <c r="G260" t="s">
        <v>51</v>
      </c>
      <c r="H260">
        <v>324</v>
      </c>
      <c r="I260">
        <v>171.63821740312639</v>
      </c>
      <c r="J260">
        <v>55610.78</v>
      </c>
      <c r="K260">
        <v>8275.17</v>
      </c>
    </row>
    <row r="261" spans="1:11" x14ac:dyDescent="0.3">
      <c r="A261" s="1">
        <v>45778</v>
      </c>
      <c r="B261">
        <v>2025</v>
      </c>
      <c r="C261">
        <v>5</v>
      </c>
      <c r="D261" t="s">
        <v>15</v>
      </c>
      <c r="E261" t="s">
        <v>39</v>
      </c>
      <c r="F261" t="s">
        <v>45</v>
      </c>
      <c r="G261" t="s">
        <v>52</v>
      </c>
      <c r="H261">
        <v>392</v>
      </c>
      <c r="I261">
        <v>148.86482028869241</v>
      </c>
      <c r="J261">
        <v>58355.01</v>
      </c>
      <c r="K261">
        <v>8175.57</v>
      </c>
    </row>
    <row r="262" spans="1:11" x14ac:dyDescent="0.3">
      <c r="A262" s="1">
        <v>45778</v>
      </c>
      <c r="B262">
        <v>2025</v>
      </c>
      <c r="C262">
        <v>5</v>
      </c>
      <c r="D262" t="s">
        <v>15</v>
      </c>
      <c r="E262" t="s">
        <v>39</v>
      </c>
      <c r="F262" t="s">
        <v>46</v>
      </c>
      <c r="G262" t="s">
        <v>49</v>
      </c>
      <c r="H262">
        <v>156</v>
      </c>
      <c r="I262">
        <v>48.95034391011508</v>
      </c>
      <c r="J262">
        <v>7636.25</v>
      </c>
      <c r="K262">
        <v>942.02</v>
      </c>
    </row>
    <row r="263" spans="1:11" x14ac:dyDescent="0.3">
      <c r="A263" s="1">
        <v>45778</v>
      </c>
      <c r="B263">
        <v>2025</v>
      </c>
      <c r="C263">
        <v>5</v>
      </c>
      <c r="D263" t="s">
        <v>15</v>
      </c>
      <c r="E263" t="s">
        <v>39</v>
      </c>
      <c r="F263" t="s">
        <v>46</v>
      </c>
      <c r="G263" t="s">
        <v>50</v>
      </c>
      <c r="H263">
        <v>339</v>
      </c>
      <c r="I263">
        <v>119.1498915041833</v>
      </c>
      <c r="J263">
        <v>40391.81</v>
      </c>
      <c r="K263">
        <v>6713.76</v>
      </c>
    </row>
    <row r="264" spans="1:11" x14ac:dyDescent="0.3">
      <c r="A264" s="1">
        <v>45778</v>
      </c>
      <c r="B264">
        <v>2025</v>
      </c>
      <c r="C264">
        <v>5</v>
      </c>
      <c r="D264" t="s">
        <v>15</v>
      </c>
      <c r="E264" t="s">
        <v>39</v>
      </c>
      <c r="F264" t="s">
        <v>46</v>
      </c>
      <c r="G264" t="s">
        <v>51</v>
      </c>
      <c r="H264">
        <v>339</v>
      </c>
      <c r="I264">
        <v>158.48775153276881</v>
      </c>
      <c r="J264">
        <v>53727.35</v>
      </c>
      <c r="K264">
        <v>8093.4</v>
      </c>
    </row>
    <row r="265" spans="1:11" x14ac:dyDescent="0.3">
      <c r="A265" s="1">
        <v>45778</v>
      </c>
      <c r="B265">
        <v>2025</v>
      </c>
      <c r="C265">
        <v>5</v>
      </c>
      <c r="D265" t="s">
        <v>15</v>
      </c>
      <c r="E265" t="s">
        <v>39</v>
      </c>
      <c r="F265" t="s">
        <v>46</v>
      </c>
      <c r="G265" t="s">
        <v>52</v>
      </c>
      <c r="H265">
        <v>335</v>
      </c>
      <c r="I265">
        <v>41.094629144483861</v>
      </c>
      <c r="J265">
        <v>13766.7</v>
      </c>
      <c r="K265">
        <v>1430.73</v>
      </c>
    </row>
    <row r="266" spans="1:11" x14ac:dyDescent="0.3">
      <c r="A266" s="1">
        <v>45778</v>
      </c>
      <c r="B266">
        <v>2025</v>
      </c>
      <c r="C266">
        <v>5</v>
      </c>
      <c r="D266" t="s">
        <v>15</v>
      </c>
      <c r="E266" t="s">
        <v>39</v>
      </c>
      <c r="F266" t="s">
        <v>47</v>
      </c>
      <c r="G266" t="s">
        <v>49</v>
      </c>
      <c r="H266">
        <v>232</v>
      </c>
      <c r="I266">
        <v>45.416947489747379</v>
      </c>
      <c r="J266">
        <v>10536.73</v>
      </c>
      <c r="K266">
        <v>1612.84</v>
      </c>
    </row>
    <row r="267" spans="1:11" x14ac:dyDescent="0.3">
      <c r="A267" s="1">
        <v>45778</v>
      </c>
      <c r="B267">
        <v>2025</v>
      </c>
      <c r="C267">
        <v>5</v>
      </c>
      <c r="D267" t="s">
        <v>15</v>
      </c>
      <c r="E267" t="s">
        <v>39</v>
      </c>
      <c r="F267" t="s">
        <v>47</v>
      </c>
      <c r="G267" t="s">
        <v>50</v>
      </c>
      <c r="H267">
        <v>81</v>
      </c>
      <c r="I267">
        <v>78.177791983465468</v>
      </c>
      <c r="J267">
        <v>6332.4</v>
      </c>
      <c r="K267">
        <v>1102.96</v>
      </c>
    </row>
    <row r="268" spans="1:11" x14ac:dyDescent="0.3">
      <c r="A268" s="1">
        <v>45778</v>
      </c>
      <c r="B268">
        <v>2025</v>
      </c>
      <c r="C268">
        <v>5</v>
      </c>
      <c r="D268" t="s">
        <v>15</v>
      </c>
      <c r="E268" t="s">
        <v>39</v>
      </c>
      <c r="F268" t="s">
        <v>47</v>
      </c>
      <c r="G268" t="s">
        <v>51</v>
      </c>
      <c r="H268">
        <v>256</v>
      </c>
      <c r="I268">
        <v>121.7782684010608</v>
      </c>
      <c r="J268">
        <v>31175.24</v>
      </c>
      <c r="K268">
        <v>4987.55</v>
      </c>
    </row>
    <row r="269" spans="1:11" x14ac:dyDescent="0.3">
      <c r="A269" s="1">
        <v>45778</v>
      </c>
      <c r="B269">
        <v>2025</v>
      </c>
      <c r="C269">
        <v>5</v>
      </c>
      <c r="D269" t="s">
        <v>15</v>
      </c>
      <c r="E269" t="s">
        <v>39</v>
      </c>
      <c r="F269" t="s">
        <v>47</v>
      </c>
      <c r="G269" t="s">
        <v>52</v>
      </c>
      <c r="H269">
        <v>123</v>
      </c>
      <c r="I269">
        <v>81.619441590732436</v>
      </c>
      <c r="J269">
        <v>10039.19</v>
      </c>
      <c r="K269">
        <v>1587.6</v>
      </c>
    </row>
    <row r="270" spans="1:11" x14ac:dyDescent="0.3">
      <c r="A270" s="1">
        <v>45778</v>
      </c>
      <c r="B270">
        <v>2025</v>
      </c>
      <c r="C270">
        <v>5</v>
      </c>
      <c r="D270" t="s">
        <v>15</v>
      </c>
      <c r="E270" t="s">
        <v>39</v>
      </c>
      <c r="F270" t="s">
        <v>48</v>
      </c>
      <c r="G270" t="s">
        <v>49</v>
      </c>
      <c r="H270">
        <v>198</v>
      </c>
      <c r="I270">
        <v>128.57929339454921</v>
      </c>
      <c r="J270">
        <v>25458.7</v>
      </c>
      <c r="K270">
        <v>1743.23</v>
      </c>
    </row>
    <row r="271" spans="1:11" x14ac:dyDescent="0.3">
      <c r="A271" s="1">
        <v>45778</v>
      </c>
      <c r="B271">
        <v>2025</v>
      </c>
      <c r="C271">
        <v>5</v>
      </c>
      <c r="D271" t="s">
        <v>15</v>
      </c>
      <c r="E271" t="s">
        <v>39</v>
      </c>
      <c r="F271" t="s">
        <v>48</v>
      </c>
      <c r="G271" t="s">
        <v>50</v>
      </c>
      <c r="H271">
        <v>172</v>
      </c>
      <c r="I271">
        <v>77.518865845495213</v>
      </c>
      <c r="J271">
        <v>13333.24</v>
      </c>
      <c r="K271">
        <v>2736.2</v>
      </c>
    </row>
    <row r="272" spans="1:11" x14ac:dyDescent="0.3">
      <c r="A272" s="1">
        <v>45778</v>
      </c>
      <c r="B272">
        <v>2025</v>
      </c>
      <c r="C272">
        <v>5</v>
      </c>
      <c r="D272" t="s">
        <v>15</v>
      </c>
      <c r="E272" t="s">
        <v>39</v>
      </c>
      <c r="F272" t="s">
        <v>48</v>
      </c>
      <c r="G272" t="s">
        <v>51</v>
      </c>
      <c r="H272">
        <v>469</v>
      </c>
      <c r="I272">
        <v>113.27504361165779</v>
      </c>
      <c r="J272">
        <v>53126</v>
      </c>
      <c r="K272">
        <v>7953.62</v>
      </c>
    </row>
    <row r="273" spans="1:11" x14ac:dyDescent="0.3">
      <c r="A273" s="1">
        <v>45778</v>
      </c>
      <c r="B273">
        <v>2025</v>
      </c>
      <c r="C273">
        <v>5</v>
      </c>
      <c r="D273" t="s">
        <v>15</v>
      </c>
      <c r="E273" t="s">
        <v>39</v>
      </c>
      <c r="F273" t="s">
        <v>48</v>
      </c>
      <c r="G273" t="s">
        <v>52</v>
      </c>
      <c r="H273">
        <v>454</v>
      </c>
      <c r="I273">
        <v>91.990347195924102</v>
      </c>
      <c r="J273">
        <v>41763.620000000003</v>
      </c>
      <c r="K273">
        <v>4611.43</v>
      </c>
    </row>
    <row r="274" spans="1:11" x14ac:dyDescent="0.3">
      <c r="A274" s="1">
        <v>45809</v>
      </c>
      <c r="B274">
        <v>2025</v>
      </c>
      <c r="C274">
        <v>6</v>
      </c>
      <c r="D274" t="s">
        <v>16</v>
      </c>
      <c r="E274" t="s">
        <v>40</v>
      </c>
      <c r="F274" t="s">
        <v>45</v>
      </c>
      <c r="G274" t="s">
        <v>49</v>
      </c>
      <c r="H274">
        <v>86</v>
      </c>
      <c r="I274">
        <v>129.26453008356941</v>
      </c>
      <c r="J274">
        <v>11116.75</v>
      </c>
      <c r="K274">
        <v>1250.68</v>
      </c>
    </row>
    <row r="275" spans="1:11" x14ac:dyDescent="0.3">
      <c r="A275" s="1">
        <v>45809</v>
      </c>
      <c r="B275">
        <v>2025</v>
      </c>
      <c r="C275">
        <v>6</v>
      </c>
      <c r="D275" t="s">
        <v>16</v>
      </c>
      <c r="E275" t="s">
        <v>40</v>
      </c>
      <c r="F275" t="s">
        <v>45</v>
      </c>
      <c r="G275" t="s">
        <v>50</v>
      </c>
      <c r="H275">
        <v>34</v>
      </c>
      <c r="I275">
        <v>176.9395319209533</v>
      </c>
      <c r="J275">
        <v>6015.94</v>
      </c>
      <c r="K275">
        <v>1094.8599999999999</v>
      </c>
    </row>
    <row r="276" spans="1:11" x14ac:dyDescent="0.3">
      <c r="A276" s="1">
        <v>45809</v>
      </c>
      <c r="B276">
        <v>2025</v>
      </c>
      <c r="C276">
        <v>6</v>
      </c>
      <c r="D276" t="s">
        <v>16</v>
      </c>
      <c r="E276" t="s">
        <v>40</v>
      </c>
      <c r="F276" t="s">
        <v>45</v>
      </c>
      <c r="G276" t="s">
        <v>51</v>
      </c>
      <c r="H276">
        <v>308</v>
      </c>
      <c r="I276">
        <v>111.3576074755011</v>
      </c>
      <c r="J276">
        <v>34298.14</v>
      </c>
      <c r="K276">
        <v>5612.46</v>
      </c>
    </row>
    <row r="277" spans="1:11" x14ac:dyDescent="0.3">
      <c r="A277" s="1">
        <v>45809</v>
      </c>
      <c r="B277">
        <v>2025</v>
      </c>
      <c r="C277">
        <v>6</v>
      </c>
      <c r="D277" t="s">
        <v>16</v>
      </c>
      <c r="E277" t="s">
        <v>40</v>
      </c>
      <c r="F277" t="s">
        <v>45</v>
      </c>
      <c r="G277" t="s">
        <v>52</v>
      </c>
      <c r="H277">
        <v>57</v>
      </c>
      <c r="I277">
        <v>152.9565928073763</v>
      </c>
      <c r="J277">
        <v>8718.5300000000007</v>
      </c>
      <c r="K277">
        <v>1002.32</v>
      </c>
    </row>
    <row r="278" spans="1:11" x14ac:dyDescent="0.3">
      <c r="A278" s="1">
        <v>45809</v>
      </c>
      <c r="B278">
        <v>2025</v>
      </c>
      <c r="C278">
        <v>6</v>
      </c>
      <c r="D278" t="s">
        <v>16</v>
      </c>
      <c r="E278" t="s">
        <v>40</v>
      </c>
      <c r="F278" t="s">
        <v>46</v>
      </c>
      <c r="G278" t="s">
        <v>49</v>
      </c>
      <c r="H278">
        <v>430</v>
      </c>
      <c r="I278">
        <v>151.3497955888086</v>
      </c>
      <c r="J278">
        <v>65080.41</v>
      </c>
      <c r="K278">
        <v>7252</v>
      </c>
    </row>
    <row r="279" spans="1:11" x14ac:dyDescent="0.3">
      <c r="A279" s="1">
        <v>45809</v>
      </c>
      <c r="B279">
        <v>2025</v>
      </c>
      <c r="C279">
        <v>6</v>
      </c>
      <c r="D279" t="s">
        <v>16</v>
      </c>
      <c r="E279" t="s">
        <v>40</v>
      </c>
      <c r="F279" t="s">
        <v>46</v>
      </c>
      <c r="G279" t="s">
        <v>50</v>
      </c>
      <c r="H279">
        <v>29</v>
      </c>
      <c r="I279">
        <v>103.8564825548639</v>
      </c>
      <c r="J279">
        <v>3011.84</v>
      </c>
      <c r="K279">
        <v>483.24</v>
      </c>
    </row>
    <row r="280" spans="1:11" x14ac:dyDescent="0.3">
      <c r="A280" s="1">
        <v>45809</v>
      </c>
      <c r="B280">
        <v>2025</v>
      </c>
      <c r="C280">
        <v>6</v>
      </c>
      <c r="D280" t="s">
        <v>16</v>
      </c>
      <c r="E280" t="s">
        <v>40</v>
      </c>
      <c r="F280" t="s">
        <v>46</v>
      </c>
      <c r="G280" t="s">
        <v>51</v>
      </c>
      <c r="H280">
        <v>349</v>
      </c>
      <c r="I280">
        <v>74.995532256022415</v>
      </c>
      <c r="J280">
        <v>26173.439999999999</v>
      </c>
      <c r="K280">
        <v>4337.97</v>
      </c>
    </row>
    <row r="281" spans="1:11" x14ac:dyDescent="0.3">
      <c r="A281" s="1">
        <v>45809</v>
      </c>
      <c r="B281">
        <v>2025</v>
      </c>
      <c r="C281">
        <v>6</v>
      </c>
      <c r="D281" t="s">
        <v>16</v>
      </c>
      <c r="E281" t="s">
        <v>40</v>
      </c>
      <c r="F281" t="s">
        <v>46</v>
      </c>
      <c r="G281" t="s">
        <v>52</v>
      </c>
      <c r="H281">
        <v>280</v>
      </c>
      <c r="I281">
        <v>102.4079215791655</v>
      </c>
      <c r="J281">
        <v>28674.22</v>
      </c>
      <c r="K281">
        <v>2325.69</v>
      </c>
    </row>
    <row r="282" spans="1:11" x14ac:dyDescent="0.3">
      <c r="A282" s="1">
        <v>45809</v>
      </c>
      <c r="B282">
        <v>2025</v>
      </c>
      <c r="C282">
        <v>6</v>
      </c>
      <c r="D282" t="s">
        <v>16</v>
      </c>
      <c r="E282" t="s">
        <v>40</v>
      </c>
      <c r="F282" t="s">
        <v>47</v>
      </c>
      <c r="G282" t="s">
        <v>49</v>
      </c>
      <c r="H282">
        <v>343</v>
      </c>
      <c r="I282">
        <v>147.22798799468259</v>
      </c>
      <c r="J282">
        <v>50499.199999999997</v>
      </c>
      <c r="K282">
        <v>7948.18</v>
      </c>
    </row>
    <row r="283" spans="1:11" x14ac:dyDescent="0.3">
      <c r="A283" s="1">
        <v>45809</v>
      </c>
      <c r="B283">
        <v>2025</v>
      </c>
      <c r="C283">
        <v>6</v>
      </c>
      <c r="D283" t="s">
        <v>16</v>
      </c>
      <c r="E283" t="s">
        <v>40</v>
      </c>
      <c r="F283" t="s">
        <v>47</v>
      </c>
      <c r="G283" t="s">
        <v>50</v>
      </c>
      <c r="H283">
        <v>262</v>
      </c>
      <c r="I283">
        <v>117.446585991365</v>
      </c>
      <c r="J283">
        <v>30771.01</v>
      </c>
      <c r="K283">
        <v>6988.49</v>
      </c>
    </row>
    <row r="284" spans="1:11" x14ac:dyDescent="0.3">
      <c r="A284" s="1">
        <v>45809</v>
      </c>
      <c r="B284">
        <v>2025</v>
      </c>
      <c r="C284">
        <v>6</v>
      </c>
      <c r="D284" t="s">
        <v>16</v>
      </c>
      <c r="E284" t="s">
        <v>40</v>
      </c>
      <c r="F284" t="s">
        <v>47</v>
      </c>
      <c r="G284" t="s">
        <v>51</v>
      </c>
      <c r="H284">
        <v>301</v>
      </c>
      <c r="I284">
        <v>57.841821192321021</v>
      </c>
      <c r="J284">
        <v>17410.39</v>
      </c>
      <c r="K284">
        <v>2591.23</v>
      </c>
    </row>
    <row r="285" spans="1:11" x14ac:dyDescent="0.3">
      <c r="A285" s="1">
        <v>45809</v>
      </c>
      <c r="B285">
        <v>2025</v>
      </c>
      <c r="C285">
        <v>6</v>
      </c>
      <c r="D285" t="s">
        <v>16</v>
      </c>
      <c r="E285" t="s">
        <v>40</v>
      </c>
      <c r="F285" t="s">
        <v>47</v>
      </c>
      <c r="G285" t="s">
        <v>52</v>
      </c>
      <c r="H285">
        <v>349</v>
      </c>
      <c r="I285">
        <v>75.079608863923241</v>
      </c>
      <c r="J285">
        <v>26202.78</v>
      </c>
      <c r="K285">
        <v>2875.54</v>
      </c>
    </row>
    <row r="286" spans="1:11" x14ac:dyDescent="0.3">
      <c r="A286" s="1">
        <v>45809</v>
      </c>
      <c r="B286">
        <v>2025</v>
      </c>
      <c r="C286">
        <v>6</v>
      </c>
      <c r="D286" t="s">
        <v>16</v>
      </c>
      <c r="E286" t="s">
        <v>40</v>
      </c>
      <c r="F286" t="s">
        <v>48</v>
      </c>
      <c r="G286" t="s">
        <v>49</v>
      </c>
      <c r="H286">
        <v>153</v>
      </c>
      <c r="I286">
        <v>86.161769185091572</v>
      </c>
      <c r="J286">
        <v>13182.75</v>
      </c>
      <c r="K286">
        <v>1688.54</v>
      </c>
    </row>
    <row r="287" spans="1:11" x14ac:dyDescent="0.3">
      <c r="A287" s="1">
        <v>45809</v>
      </c>
      <c r="B287">
        <v>2025</v>
      </c>
      <c r="C287">
        <v>6</v>
      </c>
      <c r="D287" t="s">
        <v>16</v>
      </c>
      <c r="E287" t="s">
        <v>40</v>
      </c>
      <c r="F287" t="s">
        <v>48</v>
      </c>
      <c r="G287" t="s">
        <v>50</v>
      </c>
      <c r="H287">
        <v>415</v>
      </c>
      <c r="I287">
        <v>183.25195768016329</v>
      </c>
      <c r="J287">
        <v>76049.56</v>
      </c>
      <c r="K287">
        <v>13224.13</v>
      </c>
    </row>
    <row r="288" spans="1:11" x14ac:dyDescent="0.3">
      <c r="A288" s="1">
        <v>45809</v>
      </c>
      <c r="B288">
        <v>2025</v>
      </c>
      <c r="C288">
        <v>6</v>
      </c>
      <c r="D288" t="s">
        <v>16</v>
      </c>
      <c r="E288" t="s">
        <v>40</v>
      </c>
      <c r="F288" t="s">
        <v>48</v>
      </c>
      <c r="G288" t="s">
        <v>51</v>
      </c>
      <c r="H288">
        <v>123</v>
      </c>
      <c r="I288">
        <v>106.1188489880485</v>
      </c>
      <c r="J288">
        <v>13052.62</v>
      </c>
      <c r="K288">
        <v>1839.68</v>
      </c>
    </row>
    <row r="289" spans="1:11" x14ac:dyDescent="0.3">
      <c r="A289" s="1">
        <v>45809</v>
      </c>
      <c r="B289">
        <v>2025</v>
      </c>
      <c r="C289">
        <v>6</v>
      </c>
      <c r="D289" t="s">
        <v>16</v>
      </c>
      <c r="E289" t="s">
        <v>40</v>
      </c>
      <c r="F289" t="s">
        <v>48</v>
      </c>
      <c r="G289" t="s">
        <v>52</v>
      </c>
      <c r="H289">
        <v>335</v>
      </c>
      <c r="I289">
        <v>122.6629519991761</v>
      </c>
      <c r="J289">
        <v>41092.089999999997</v>
      </c>
      <c r="K289">
        <v>3942.31</v>
      </c>
    </row>
    <row r="290" spans="1:11" x14ac:dyDescent="0.3">
      <c r="A290" s="1">
        <v>45839</v>
      </c>
      <c r="B290">
        <v>2025</v>
      </c>
      <c r="C290">
        <v>7</v>
      </c>
      <c r="D290" t="s">
        <v>17</v>
      </c>
      <c r="E290" t="s">
        <v>41</v>
      </c>
      <c r="F290" t="s">
        <v>45</v>
      </c>
      <c r="G290" t="s">
        <v>49</v>
      </c>
      <c r="H290">
        <v>375</v>
      </c>
      <c r="I290">
        <v>184.5625992295418</v>
      </c>
      <c r="J290">
        <v>69210.97</v>
      </c>
      <c r="K290">
        <v>10665.37</v>
      </c>
    </row>
    <row r="291" spans="1:11" x14ac:dyDescent="0.3">
      <c r="A291" s="1">
        <v>45839</v>
      </c>
      <c r="B291">
        <v>2025</v>
      </c>
      <c r="C291">
        <v>7</v>
      </c>
      <c r="D291" t="s">
        <v>17</v>
      </c>
      <c r="E291" t="s">
        <v>41</v>
      </c>
      <c r="F291" t="s">
        <v>45</v>
      </c>
      <c r="G291" t="s">
        <v>50</v>
      </c>
      <c r="H291">
        <v>306</v>
      </c>
      <c r="I291">
        <v>125.2758588127426</v>
      </c>
      <c r="J291">
        <v>38334.410000000003</v>
      </c>
      <c r="K291">
        <v>7799.08</v>
      </c>
    </row>
    <row r="292" spans="1:11" x14ac:dyDescent="0.3">
      <c r="A292" s="1">
        <v>45839</v>
      </c>
      <c r="B292">
        <v>2025</v>
      </c>
      <c r="C292">
        <v>7</v>
      </c>
      <c r="D292" t="s">
        <v>17</v>
      </c>
      <c r="E292" t="s">
        <v>41</v>
      </c>
      <c r="F292" t="s">
        <v>45</v>
      </c>
      <c r="G292" t="s">
        <v>51</v>
      </c>
      <c r="H292">
        <v>70</v>
      </c>
      <c r="I292">
        <v>149.92440476869729</v>
      </c>
      <c r="J292">
        <v>10494.71</v>
      </c>
      <c r="K292">
        <v>1471.44</v>
      </c>
    </row>
    <row r="293" spans="1:11" x14ac:dyDescent="0.3">
      <c r="A293" s="1">
        <v>45839</v>
      </c>
      <c r="B293">
        <v>2025</v>
      </c>
      <c r="C293">
        <v>7</v>
      </c>
      <c r="D293" t="s">
        <v>17</v>
      </c>
      <c r="E293" t="s">
        <v>41</v>
      </c>
      <c r="F293" t="s">
        <v>45</v>
      </c>
      <c r="G293" t="s">
        <v>52</v>
      </c>
      <c r="H293">
        <v>424</v>
      </c>
      <c r="I293">
        <v>41.448896969785046</v>
      </c>
      <c r="J293">
        <v>17574.330000000002</v>
      </c>
      <c r="K293">
        <v>1888.96</v>
      </c>
    </row>
    <row r="294" spans="1:11" x14ac:dyDescent="0.3">
      <c r="A294" s="1">
        <v>45839</v>
      </c>
      <c r="B294">
        <v>2025</v>
      </c>
      <c r="C294">
        <v>7</v>
      </c>
      <c r="D294" t="s">
        <v>17</v>
      </c>
      <c r="E294" t="s">
        <v>41</v>
      </c>
      <c r="F294" t="s">
        <v>46</v>
      </c>
      <c r="G294" t="s">
        <v>49</v>
      </c>
      <c r="H294">
        <v>439</v>
      </c>
      <c r="I294">
        <v>33.685909428620697</v>
      </c>
      <c r="J294">
        <v>14788.11</v>
      </c>
      <c r="K294">
        <v>2377.54</v>
      </c>
    </row>
    <row r="295" spans="1:11" x14ac:dyDescent="0.3">
      <c r="A295" s="1">
        <v>45839</v>
      </c>
      <c r="B295">
        <v>2025</v>
      </c>
      <c r="C295">
        <v>7</v>
      </c>
      <c r="D295" t="s">
        <v>17</v>
      </c>
      <c r="E295" t="s">
        <v>41</v>
      </c>
      <c r="F295" t="s">
        <v>46</v>
      </c>
      <c r="G295" t="s">
        <v>50</v>
      </c>
      <c r="H295">
        <v>168</v>
      </c>
      <c r="I295">
        <v>82.068082693254283</v>
      </c>
      <c r="J295">
        <v>13787.44</v>
      </c>
      <c r="K295">
        <v>2488.34</v>
      </c>
    </row>
    <row r="296" spans="1:11" x14ac:dyDescent="0.3">
      <c r="A296" s="1">
        <v>45839</v>
      </c>
      <c r="B296">
        <v>2025</v>
      </c>
      <c r="C296">
        <v>7</v>
      </c>
      <c r="D296" t="s">
        <v>17</v>
      </c>
      <c r="E296" t="s">
        <v>41</v>
      </c>
      <c r="F296" t="s">
        <v>46</v>
      </c>
      <c r="G296" t="s">
        <v>51</v>
      </c>
      <c r="H296">
        <v>328</v>
      </c>
      <c r="I296">
        <v>73.687475912721169</v>
      </c>
      <c r="J296">
        <v>24169.49</v>
      </c>
      <c r="K296">
        <v>2894.49</v>
      </c>
    </row>
    <row r="297" spans="1:11" x14ac:dyDescent="0.3">
      <c r="A297" s="1">
        <v>45839</v>
      </c>
      <c r="B297">
        <v>2025</v>
      </c>
      <c r="C297">
        <v>7</v>
      </c>
      <c r="D297" t="s">
        <v>17</v>
      </c>
      <c r="E297" t="s">
        <v>41</v>
      </c>
      <c r="F297" t="s">
        <v>46</v>
      </c>
      <c r="G297" t="s">
        <v>52</v>
      </c>
      <c r="H297">
        <v>44</v>
      </c>
      <c r="I297">
        <v>174.06844671646181</v>
      </c>
      <c r="J297">
        <v>7659.01</v>
      </c>
      <c r="K297">
        <v>435.82</v>
      </c>
    </row>
    <row r="298" spans="1:11" x14ac:dyDescent="0.3">
      <c r="A298" s="1">
        <v>45839</v>
      </c>
      <c r="B298">
        <v>2025</v>
      </c>
      <c r="C298">
        <v>7</v>
      </c>
      <c r="D298" t="s">
        <v>17</v>
      </c>
      <c r="E298" t="s">
        <v>41</v>
      </c>
      <c r="F298" t="s">
        <v>47</v>
      </c>
      <c r="G298" t="s">
        <v>49</v>
      </c>
      <c r="H298">
        <v>313</v>
      </c>
      <c r="I298">
        <v>75.805738929532637</v>
      </c>
      <c r="J298">
        <v>23727.200000000001</v>
      </c>
      <c r="K298">
        <v>3924.54</v>
      </c>
    </row>
    <row r="299" spans="1:11" x14ac:dyDescent="0.3">
      <c r="A299" s="1">
        <v>45839</v>
      </c>
      <c r="B299">
        <v>2025</v>
      </c>
      <c r="C299">
        <v>7</v>
      </c>
      <c r="D299" t="s">
        <v>17</v>
      </c>
      <c r="E299" t="s">
        <v>41</v>
      </c>
      <c r="F299" t="s">
        <v>47</v>
      </c>
      <c r="G299" t="s">
        <v>50</v>
      </c>
      <c r="H299">
        <v>36</v>
      </c>
      <c r="I299">
        <v>121.54296258594781</v>
      </c>
      <c r="J299">
        <v>4375.55</v>
      </c>
      <c r="K299">
        <v>803.48</v>
      </c>
    </row>
    <row r="300" spans="1:11" x14ac:dyDescent="0.3">
      <c r="A300" s="1">
        <v>45839</v>
      </c>
      <c r="B300">
        <v>2025</v>
      </c>
      <c r="C300">
        <v>7</v>
      </c>
      <c r="D300" t="s">
        <v>17</v>
      </c>
      <c r="E300" t="s">
        <v>41</v>
      </c>
      <c r="F300" t="s">
        <v>47</v>
      </c>
      <c r="G300" t="s">
        <v>51</v>
      </c>
      <c r="H300">
        <v>462</v>
      </c>
      <c r="I300">
        <v>95.963508065211741</v>
      </c>
      <c r="J300">
        <v>44335.14</v>
      </c>
      <c r="K300">
        <v>7319.07</v>
      </c>
    </row>
    <row r="301" spans="1:11" x14ac:dyDescent="0.3">
      <c r="A301" s="1">
        <v>45839</v>
      </c>
      <c r="B301">
        <v>2025</v>
      </c>
      <c r="C301">
        <v>7</v>
      </c>
      <c r="D301" t="s">
        <v>17</v>
      </c>
      <c r="E301" t="s">
        <v>41</v>
      </c>
      <c r="F301" t="s">
        <v>47</v>
      </c>
      <c r="G301" t="s">
        <v>52</v>
      </c>
      <c r="H301">
        <v>474</v>
      </c>
      <c r="I301">
        <v>41.44753031131502</v>
      </c>
      <c r="J301">
        <v>19646.13</v>
      </c>
      <c r="K301">
        <v>2250.38</v>
      </c>
    </row>
    <row r="302" spans="1:11" x14ac:dyDescent="0.3">
      <c r="A302" s="1">
        <v>45839</v>
      </c>
      <c r="B302">
        <v>2025</v>
      </c>
      <c r="C302">
        <v>7</v>
      </c>
      <c r="D302" t="s">
        <v>17</v>
      </c>
      <c r="E302" t="s">
        <v>41</v>
      </c>
      <c r="F302" t="s">
        <v>48</v>
      </c>
      <c r="G302" t="s">
        <v>49</v>
      </c>
      <c r="H302">
        <v>363</v>
      </c>
      <c r="I302">
        <v>69.179902515223915</v>
      </c>
      <c r="J302">
        <v>25112.3</v>
      </c>
      <c r="K302">
        <v>2527.15</v>
      </c>
    </row>
    <row r="303" spans="1:11" x14ac:dyDescent="0.3">
      <c r="A303" s="1">
        <v>45839</v>
      </c>
      <c r="B303">
        <v>2025</v>
      </c>
      <c r="C303">
        <v>7</v>
      </c>
      <c r="D303" t="s">
        <v>17</v>
      </c>
      <c r="E303" t="s">
        <v>41</v>
      </c>
      <c r="F303" t="s">
        <v>48</v>
      </c>
      <c r="G303" t="s">
        <v>50</v>
      </c>
      <c r="H303">
        <v>173</v>
      </c>
      <c r="I303">
        <v>12.48794675178339</v>
      </c>
      <c r="J303">
        <v>2160.41</v>
      </c>
      <c r="K303">
        <v>417.21</v>
      </c>
    </row>
    <row r="304" spans="1:11" x14ac:dyDescent="0.3">
      <c r="A304" s="1">
        <v>45839</v>
      </c>
      <c r="B304">
        <v>2025</v>
      </c>
      <c r="C304">
        <v>7</v>
      </c>
      <c r="D304" t="s">
        <v>17</v>
      </c>
      <c r="E304" t="s">
        <v>41</v>
      </c>
      <c r="F304" t="s">
        <v>48</v>
      </c>
      <c r="G304" t="s">
        <v>51</v>
      </c>
      <c r="H304">
        <v>488</v>
      </c>
      <c r="I304">
        <v>107.88299965729441</v>
      </c>
      <c r="J304">
        <v>52646.9</v>
      </c>
      <c r="K304">
        <v>7594.8</v>
      </c>
    </row>
    <row r="305" spans="1:11" x14ac:dyDescent="0.3">
      <c r="A305" s="1">
        <v>45839</v>
      </c>
      <c r="B305">
        <v>2025</v>
      </c>
      <c r="C305">
        <v>7</v>
      </c>
      <c r="D305" t="s">
        <v>17</v>
      </c>
      <c r="E305" t="s">
        <v>41</v>
      </c>
      <c r="F305" t="s">
        <v>48</v>
      </c>
      <c r="G305" t="s">
        <v>52</v>
      </c>
      <c r="H305">
        <v>167</v>
      </c>
      <c r="I305">
        <v>88.778583508134503</v>
      </c>
      <c r="J305">
        <v>14826.02</v>
      </c>
      <c r="K305">
        <v>1535.81</v>
      </c>
    </row>
    <row r="306" spans="1:11" x14ac:dyDescent="0.3">
      <c r="A306" s="1">
        <v>45870</v>
      </c>
      <c r="B306">
        <v>2025</v>
      </c>
      <c r="C306">
        <v>8</v>
      </c>
      <c r="D306" t="s">
        <v>18</v>
      </c>
      <c r="E306" t="s">
        <v>42</v>
      </c>
      <c r="F306" t="s">
        <v>45</v>
      </c>
      <c r="G306" t="s">
        <v>49</v>
      </c>
      <c r="H306">
        <v>495</v>
      </c>
      <c r="I306">
        <v>111.6632465973951</v>
      </c>
      <c r="J306">
        <v>55273.31</v>
      </c>
      <c r="K306">
        <v>6546.22</v>
      </c>
    </row>
    <row r="307" spans="1:11" x14ac:dyDescent="0.3">
      <c r="A307" s="1">
        <v>45870</v>
      </c>
      <c r="B307">
        <v>2025</v>
      </c>
      <c r="C307">
        <v>8</v>
      </c>
      <c r="D307" t="s">
        <v>18</v>
      </c>
      <c r="E307" t="s">
        <v>42</v>
      </c>
      <c r="F307" t="s">
        <v>45</v>
      </c>
      <c r="G307" t="s">
        <v>50</v>
      </c>
      <c r="H307">
        <v>243</v>
      </c>
      <c r="I307">
        <v>22.744530703801221</v>
      </c>
      <c r="J307">
        <v>5526.92</v>
      </c>
      <c r="K307">
        <v>949.46</v>
      </c>
    </row>
    <row r="308" spans="1:11" x14ac:dyDescent="0.3">
      <c r="A308" s="1">
        <v>45870</v>
      </c>
      <c r="B308">
        <v>2025</v>
      </c>
      <c r="C308">
        <v>8</v>
      </c>
      <c r="D308" t="s">
        <v>18</v>
      </c>
      <c r="E308" t="s">
        <v>42</v>
      </c>
      <c r="F308" t="s">
        <v>45</v>
      </c>
      <c r="G308" t="s">
        <v>51</v>
      </c>
      <c r="H308">
        <v>234</v>
      </c>
      <c r="I308">
        <v>91.089892013982393</v>
      </c>
      <c r="J308">
        <v>21315.03</v>
      </c>
      <c r="K308">
        <v>3168.62</v>
      </c>
    </row>
    <row r="309" spans="1:11" x14ac:dyDescent="0.3">
      <c r="A309" s="1">
        <v>45870</v>
      </c>
      <c r="B309">
        <v>2025</v>
      </c>
      <c r="C309">
        <v>8</v>
      </c>
      <c r="D309" t="s">
        <v>18</v>
      </c>
      <c r="E309" t="s">
        <v>42</v>
      </c>
      <c r="F309" t="s">
        <v>45</v>
      </c>
      <c r="G309" t="s">
        <v>52</v>
      </c>
      <c r="H309">
        <v>177</v>
      </c>
      <c r="I309">
        <v>46.230666926096653</v>
      </c>
      <c r="J309">
        <v>8182.83</v>
      </c>
      <c r="K309">
        <v>1084.8599999999999</v>
      </c>
    </row>
    <row r="310" spans="1:11" x14ac:dyDescent="0.3">
      <c r="A310" s="1">
        <v>45870</v>
      </c>
      <c r="B310">
        <v>2025</v>
      </c>
      <c r="C310">
        <v>8</v>
      </c>
      <c r="D310" t="s">
        <v>18</v>
      </c>
      <c r="E310" t="s">
        <v>42</v>
      </c>
      <c r="F310" t="s">
        <v>46</v>
      </c>
      <c r="G310" t="s">
        <v>49</v>
      </c>
      <c r="H310">
        <v>448</v>
      </c>
      <c r="I310">
        <v>81.767930013632167</v>
      </c>
      <c r="J310">
        <v>36632.03</v>
      </c>
      <c r="K310">
        <v>4251.59</v>
      </c>
    </row>
    <row r="311" spans="1:11" x14ac:dyDescent="0.3">
      <c r="A311" s="1">
        <v>45870</v>
      </c>
      <c r="B311">
        <v>2025</v>
      </c>
      <c r="C311">
        <v>8</v>
      </c>
      <c r="D311" t="s">
        <v>18</v>
      </c>
      <c r="E311" t="s">
        <v>42</v>
      </c>
      <c r="F311" t="s">
        <v>46</v>
      </c>
      <c r="G311" t="s">
        <v>50</v>
      </c>
      <c r="H311">
        <v>276</v>
      </c>
      <c r="I311">
        <v>157.35024717205201</v>
      </c>
      <c r="J311">
        <v>43428.67</v>
      </c>
      <c r="K311">
        <v>8396.07</v>
      </c>
    </row>
    <row r="312" spans="1:11" x14ac:dyDescent="0.3">
      <c r="A312" s="1">
        <v>45870</v>
      </c>
      <c r="B312">
        <v>2025</v>
      </c>
      <c r="C312">
        <v>8</v>
      </c>
      <c r="D312" t="s">
        <v>18</v>
      </c>
      <c r="E312" t="s">
        <v>42</v>
      </c>
      <c r="F312" t="s">
        <v>46</v>
      </c>
      <c r="G312" t="s">
        <v>51</v>
      </c>
      <c r="H312">
        <v>194</v>
      </c>
      <c r="I312">
        <v>110.2530687275093</v>
      </c>
      <c r="J312">
        <v>21389.1</v>
      </c>
      <c r="K312">
        <v>2337.9699999999998</v>
      </c>
    </row>
    <row r="313" spans="1:11" x14ac:dyDescent="0.3">
      <c r="A313" s="1">
        <v>45870</v>
      </c>
      <c r="B313">
        <v>2025</v>
      </c>
      <c r="C313">
        <v>8</v>
      </c>
      <c r="D313" t="s">
        <v>18</v>
      </c>
      <c r="E313" t="s">
        <v>42</v>
      </c>
      <c r="F313" t="s">
        <v>46</v>
      </c>
      <c r="G313" t="s">
        <v>52</v>
      </c>
      <c r="H313">
        <v>241</v>
      </c>
      <c r="I313">
        <v>116.3316629485614</v>
      </c>
      <c r="J313">
        <v>28035.93</v>
      </c>
      <c r="K313">
        <v>4091.02</v>
      </c>
    </row>
    <row r="314" spans="1:11" x14ac:dyDescent="0.3">
      <c r="A314" s="1">
        <v>45870</v>
      </c>
      <c r="B314">
        <v>2025</v>
      </c>
      <c r="C314">
        <v>8</v>
      </c>
      <c r="D314" t="s">
        <v>18</v>
      </c>
      <c r="E314" t="s">
        <v>42</v>
      </c>
      <c r="F314" t="s">
        <v>47</v>
      </c>
      <c r="G314" t="s">
        <v>49</v>
      </c>
      <c r="H314">
        <v>338</v>
      </c>
      <c r="I314">
        <v>29.566481072949951</v>
      </c>
      <c r="J314">
        <v>9993.4699999999993</v>
      </c>
      <c r="K314">
        <v>1285.6199999999999</v>
      </c>
    </row>
    <row r="315" spans="1:11" x14ac:dyDescent="0.3">
      <c r="A315" s="1">
        <v>45870</v>
      </c>
      <c r="B315">
        <v>2025</v>
      </c>
      <c r="C315">
        <v>8</v>
      </c>
      <c r="D315" t="s">
        <v>18</v>
      </c>
      <c r="E315" t="s">
        <v>42</v>
      </c>
      <c r="F315" t="s">
        <v>47</v>
      </c>
      <c r="G315" t="s">
        <v>50</v>
      </c>
      <c r="H315">
        <v>150</v>
      </c>
      <c r="I315">
        <v>80.928770093153062</v>
      </c>
      <c r="J315">
        <v>12139.32</v>
      </c>
      <c r="K315">
        <v>2374.08</v>
      </c>
    </row>
    <row r="316" spans="1:11" x14ac:dyDescent="0.3">
      <c r="A316" s="1">
        <v>45870</v>
      </c>
      <c r="B316">
        <v>2025</v>
      </c>
      <c r="C316">
        <v>8</v>
      </c>
      <c r="D316" t="s">
        <v>18</v>
      </c>
      <c r="E316" t="s">
        <v>42</v>
      </c>
      <c r="F316" t="s">
        <v>47</v>
      </c>
      <c r="G316" t="s">
        <v>51</v>
      </c>
      <c r="H316">
        <v>477</v>
      </c>
      <c r="I316">
        <v>180.51177786558799</v>
      </c>
      <c r="J316">
        <v>86104.12</v>
      </c>
      <c r="K316">
        <v>17074.38</v>
      </c>
    </row>
    <row r="317" spans="1:11" x14ac:dyDescent="0.3">
      <c r="A317" s="1">
        <v>45870</v>
      </c>
      <c r="B317">
        <v>2025</v>
      </c>
      <c r="C317">
        <v>8</v>
      </c>
      <c r="D317" t="s">
        <v>18</v>
      </c>
      <c r="E317" t="s">
        <v>42</v>
      </c>
      <c r="F317" t="s">
        <v>47</v>
      </c>
      <c r="G317" t="s">
        <v>52</v>
      </c>
      <c r="H317">
        <v>74</v>
      </c>
      <c r="I317">
        <v>39.668993499576167</v>
      </c>
      <c r="J317">
        <v>2935.51</v>
      </c>
      <c r="K317">
        <v>359.6</v>
      </c>
    </row>
    <row r="318" spans="1:11" x14ac:dyDescent="0.3">
      <c r="A318" s="1">
        <v>45870</v>
      </c>
      <c r="B318">
        <v>2025</v>
      </c>
      <c r="C318">
        <v>8</v>
      </c>
      <c r="D318" t="s">
        <v>18</v>
      </c>
      <c r="E318" t="s">
        <v>42</v>
      </c>
      <c r="F318" t="s">
        <v>48</v>
      </c>
      <c r="G318" t="s">
        <v>49</v>
      </c>
      <c r="H318">
        <v>197</v>
      </c>
      <c r="I318">
        <v>174.7288144021895</v>
      </c>
      <c r="J318">
        <v>34421.58</v>
      </c>
      <c r="K318">
        <v>4799.8900000000003</v>
      </c>
    </row>
    <row r="319" spans="1:11" x14ac:dyDescent="0.3">
      <c r="A319" s="1">
        <v>45870</v>
      </c>
      <c r="B319">
        <v>2025</v>
      </c>
      <c r="C319">
        <v>8</v>
      </c>
      <c r="D319" t="s">
        <v>18</v>
      </c>
      <c r="E319" t="s">
        <v>42</v>
      </c>
      <c r="F319" t="s">
        <v>48</v>
      </c>
      <c r="G319" t="s">
        <v>50</v>
      </c>
      <c r="H319">
        <v>342</v>
      </c>
      <c r="I319">
        <v>53.904211351733572</v>
      </c>
      <c r="J319">
        <v>18435.240000000002</v>
      </c>
      <c r="K319">
        <v>2424.48</v>
      </c>
    </row>
    <row r="320" spans="1:11" x14ac:dyDescent="0.3">
      <c r="A320" s="1">
        <v>45870</v>
      </c>
      <c r="B320">
        <v>2025</v>
      </c>
      <c r="C320">
        <v>8</v>
      </c>
      <c r="D320" t="s">
        <v>18</v>
      </c>
      <c r="E320" t="s">
        <v>42</v>
      </c>
      <c r="F320" t="s">
        <v>48</v>
      </c>
      <c r="G320" t="s">
        <v>51</v>
      </c>
      <c r="H320">
        <v>462</v>
      </c>
      <c r="I320">
        <v>106.0464970301464</v>
      </c>
      <c r="J320">
        <v>48993.48</v>
      </c>
      <c r="K320">
        <v>5429.94</v>
      </c>
    </row>
    <row r="321" spans="1:11" x14ac:dyDescent="0.3">
      <c r="A321" s="1">
        <v>45870</v>
      </c>
      <c r="B321">
        <v>2025</v>
      </c>
      <c r="C321">
        <v>8</v>
      </c>
      <c r="D321" t="s">
        <v>18</v>
      </c>
      <c r="E321" t="s">
        <v>42</v>
      </c>
      <c r="F321" t="s">
        <v>48</v>
      </c>
      <c r="G321" t="s">
        <v>52</v>
      </c>
      <c r="H321">
        <v>248</v>
      </c>
      <c r="I321">
        <v>43.923485790323383</v>
      </c>
      <c r="J321">
        <v>10893.02</v>
      </c>
      <c r="K321">
        <v>1254.95</v>
      </c>
    </row>
    <row r="322" spans="1:11" x14ac:dyDescent="0.3">
      <c r="A322" s="1">
        <v>45901</v>
      </c>
      <c r="B322">
        <v>2025</v>
      </c>
      <c r="C322">
        <v>9</v>
      </c>
      <c r="D322" t="s">
        <v>19</v>
      </c>
      <c r="E322" t="s">
        <v>43</v>
      </c>
      <c r="F322" t="s">
        <v>45</v>
      </c>
      <c r="G322" t="s">
        <v>49</v>
      </c>
      <c r="H322">
        <v>116</v>
      </c>
      <c r="I322">
        <v>115.7771011088396</v>
      </c>
      <c r="J322">
        <v>13430.14</v>
      </c>
      <c r="K322">
        <v>1977.44</v>
      </c>
    </row>
    <row r="323" spans="1:11" x14ac:dyDescent="0.3">
      <c r="A323" s="1">
        <v>45901</v>
      </c>
      <c r="B323">
        <v>2025</v>
      </c>
      <c r="C323">
        <v>9</v>
      </c>
      <c r="D323" t="s">
        <v>19</v>
      </c>
      <c r="E323" t="s">
        <v>43</v>
      </c>
      <c r="F323" t="s">
        <v>45</v>
      </c>
      <c r="G323" t="s">
        <v>50</v>
      </c>
      <c r="H323">
        <v>107</v>
      </c>
      <c r="I323">
        <v>147.23071705257519</v>
      </c>
      <c r="J323">
        <v>15753.69</v>
      </c>
      <c r="K323">
        <v>3189.62</v>
      </c>
    </row>
    <row r="324" spans="1:11" x14ac:dyDescent="0.3">
      <c r="A324" s="1">
        <v>45901</v>
      </c>
      <c r="B324">
        <v>2025</v>
      </c>
      <c r="C324">
        <v>9</v>
      </c>
      <c r="D324" t="s">
        <v>19</v>
      </c>
      <c r="E324" t="s">
        <v>43</v>
      </c>
      <c r="F324" t="s">
        <v>45</v>
      </c>
      <c r="G324" t="s">
        <v>51</v>
      </c>
      <c r="H324">
        <v>139</v>
      </c>
      <c r="I324">
        <v>163.30152830289131</v>
      </c>
      <c r="J324">
        <v>22698.91</v>
      </c>
      <c r="K324">
        <v>3506.61</v>
      </c>
    </row>
    <row r="325" spans="1:11" x14ac:dyDescent="0.3">
      <c r="A325" s="1">
        <v>45901</v>
      </c>
      <c r="B325">
        <v>2025</v>
      </c>
      <c r="C325">
        <v>9</v>
      </c>
      <c r="D325" t="s">
        <v>19</v>
      </c>
      <c r="E325" t="s">
        <v>43</v>
      </c>
      <c r="F325" t="s">
        <v>45</v>
      </c>
      <c r="G325" t="s">
        <v>52</v>
      </c>
      <c r="H325">
        <v>330</v>
      </c>
      <c r="I325">
        <v>180.3038055190128</v>
      </c>
      <c r="J325">
        <v>59500.26</v>
      </c>
      <c r="K325">
        <v>5286.56</v>
      </c>
    </row>
    <row r="326" spans="1:11" x14ac:dyDescent="0.3">
      <c r="A326" s="1">
        <v>45901</v>
      </c>
      <c r="B326">
        <v>2025</v>
      </c>
      <c r="C326">
        <v>9</v>
      </c>
      <c r="D326" t="s">
        <v>19</v>
      </c>
      <c r="E326" t="s">
        <v>43</v>
      </c>
      <c r="F326" t="s">
        <v>46</v>
      </c>
      <c r="G326" t="s">
        <v>49</v>
      </c>
      <c r="H326">
        <v>26</v>
      </c>
      <c r="I326">
        <v>130.3157472330825</v>
      </c>
      <c r="J326">
        <v>3388.21</v>
      </c>
      <c r="K326">
        <v>419.38</v>
      </c>
    </row>
    <row r="327" spans="1:11" x14ac:dyDescent="0.3">
      <c r="A327" s="1">
        <v>45901</v>
      </c>
      <c r="B327">
        <v>2025</v>
      </c>
      <c r="C327">
        <v>9</v>
      </c>
      <c r="D327" t="s">
        <v>19</v>
      </c>
      <c r="E327" t="s">
        <v>43</v>
      </c>
      <c r="F327" t="s">
        <v>46</v>
      </c>
      <c r="G327" t="s">
        <v>50</v>
      </c>
      <c r="H327">
        <v>131</v>
      </c>
      <c r="I327">
        <v>44.472732667061493</v>
      </c>
      <c r="J327">
        <v>5825.93</v>
      </c>
      <c r="K327">
        <v>1044.8</v>
      </c>
    </row>
    <row r="328" spans="1:11" x14ac:dyDescent="0.3">
      <c r="A328" s="1">
        <v>45901</v>
      </c>
      <c r="B328">
        <v>2025</v>
      </c>
      <c r="C328">
        <v>9</v>
      </c>
      <c r="D328" t="s">
        <v>19</v>
      </c>
      <c r="E328" t="s">
        <v>43</v>
      </c>
      <c r="F328" t="s">
        <v>46</v>
      </c>
      <c r="G328" t="s">
        <v>51</v>
      </c>
      <c r="H328">
        <v>55</v>
      </c>
      <c r="I328">
        <v>132.1558570867081</v>
      </c>
      <c r="J328">
        <v>7268.57</v>
      </c>
      <c r="K328">
        <v>1094.27</v>
      </c>
    </row>
    <row r="329" spans="1:11" x14ac:dyDescent="0.3">
      <c r="A329" s="1">
        <v>45901</v>
      </c>
      <c r="B329">
        <v>2025</v>
      </c>
      <c r="C329">
        <v>9</v>
      </c>
      <c r="D329" t="s">
        <v>19</v>
      </c>
      <c r="E329" t="s">
        <v>43</v>
      </c>
      <c r="F329" t="s">
        <v>46</v>
      </c>
      <c r="G329" t="s">
        <v>52</v>
      </c>
      <c r="H329">
        <v>216</v>
      </c>
      <c r="I329">
        <v>74.945296822596433</v>
      </c>
      <c r="J329">
        <v>16188.18</v>
      </c>
      <c r="K329">
        <v>1541.74</v>
      </c>
    </row>
    <row r="330" spans="1:11" x14ac:dyDescent="0.3">
      <c r="A330" s="1">
        <v>45901</v>
      </c>
      <c r="B330">
        <v>2025</v>
      </c>
      <c r="C330">
        <v>9</v>
      </c>
      <c r="D330" t="s">
        <v>19</v>
      </c>
      <c r="E330" t="s">
        <v>43</v>
      </c>
      <c r="F330" t="s">
        <v>47</v>
      </c>
      <c r="G330" t="s">
        <v>49</v>
      </c>
      <c r="H330">
        <v>253</v>
      </c>
      <c r="I330">
        <v>166.77039297030541</v>
      </c>
      <c r="J330">
        <v>42192.91</v>
      </c>
      <c r="K330">
        <v>5629.1</v>
      </c>
    </row>
    <row r="331" spans="1:11" x14ac:dyDescent="0.3">
      <c r="A331" s="1">
        <v>45901</v>
      </c>
      <c r="B331">
        <v>2025</v>
      </c>
      <c r="C331">
        <v>9</v>
      </c>
      <c r="D331" t="s">
        <v>19</v>
      </c>
      <c r="E331" t="s">
        <v>43</v>
      </c>
      <c r="F331" t="s">
        <v>47</v>
      </c>
      <c r="G331" t="s">
        <v>50</v>
      </c>
      <c r="H331">
        <v>39</v>
      </c>
      <c r="I331">
        <v>128.58829249133549</v>
      </c>
      <c r="J331">
        <v>5014.9399999999996</v>
      </c>
      <c r="K331">
        <v>993.28</v>
      </c>
    </row>
    <row r="332" spans="1:11" x14ac:dyDescent="0.3">
      <c r="A332" s="1">
        <v>45901</v>
      </c>
      <c r="B332">
        <v>2025</v>
      </c>
      <c r="C332">
        <v>9</v>
      </c>
      <c r="D332" t="s">
        <v>19</v>
      </c>
      <c r="E332" t="s">
        <v>43</v>
      </c>
      <c r="F332" t="s">
        <v>47</v>
      </c>
      <c r="G332" t="s">
        <v>51</v>
      </c>
      <c r="H332">
        <v>441</v>
      </c>
      <c r="I332">
        <v>157.02855940825469</v>
      </c>
      <c r="J332">
        <v>69249.59</v>
      </c>
      <c r="K332">
        <v>13087.78</v>
      </c>
    </row>
    <row r="333" spans="1:11" x14ac:dyDescent="0.3">
      <c r="A333" s="1">
        <v>45901</v>
      </c>
      <c r="B333">
        <v>2025</v>
      </c>
      <c r="C333">
        <v>9</v>
      </c>
      <c r="D333" t="s">
        <v>19</v>
      </c>
      <c r="E333" t="s">
        <v>43</v>
      </c>
      <c r="F333" t="s">
        <v>47</v>
      </c>
      <c r="G333" t="s">
        <v>52</v>
      </c>
      <c r="H333">
        <v>374</v>
      </c>
      <c r="I333">
        <v>190.2061283228098</v>
      </c>
      <c r="J333">
        <v>71137.09</v>
      </c>
      <c r="K333">
        <v>8022.86</v>
      </c>
    </row>
    <row r="334" spans="1:11" x14ac:dyDescent="0.3">
      <c r="A334" s="1">
        <v>45901</v>
      </c>
      <c r="B334">
        <v>2025</v>
      </c>
      <c r="C334">
        <v>9</v>
      </c>
      <c r="D334" t="s">
        <v>19</v>
      </c>
      <c r="E334" t="s">
        <v>43</v>
      </c>
      <c r="F334" t="s">
        <v>48</v>
      </c>
      <c r="G334" t="s">
        <v>49</v>
      </c>
      <c r="H334">
        <v>361</v>
      </c>
      <c r="I334">
        <v>158.15416720972581</v>
      </c>
      <c r="J334">
        <v>57093.65</v>
      </c>
      <c r="K334">
        <v>6755.79</v>
      </c>
    </row>
    <row r="335" spans="1:11" x14ac:dyDescent="0.3">
      <c r="A335" s="1">
        <v>45901</v>
      </c>
      <c r="B335">
        <v>2025</v>
      </c>
      <c r="C335">
        <v>9</v>
      </c>
      <c r="D335" t="s">
        <v>19</v>
      </c>
      <c r="E335" t="s">
        <v>43</v>
      </c>
      <c r="F335" t="s">
        <v>48</v>
      </c>
      <c r="G335" t="s">
        <v>50</v>
      </c>
      <c r="H335">
        <v>78</v>
      </c>
      <c r="I335">
        <v>179.96492310987739</v>
      </c>
      <c r="J335">
        <v>14037.26</v>
      </c>
      <c r="K335">
        <v>2182.52</v>
      </c>
    </row>
    <row r="336" spans="1:11" x14ac:dyDescent="0.3">
      <c r="A336" s="1">
        <v>45901</v>
      </c>
      <c r="B336">
        <v>2025</v>
      </c>
      <c r="C336">
        <v>9</v>
      </c>
      <c r="D336" t="s">
        <v>19</v>
      </c>
      <c r="E336" t="s">
        <v>43</v>
      </c>
      <c r="F336" t="s">
        <v>48</v>
      </c>
      <c r="G336" t="s">
        <v>51</v>
      </c>
      <c r="H336">
        <v>147</v>
      </c>
      <c r="I336">
        <v>44.600356376100819</v>
      </c>
      <c r="J336">
        <v>6556.25</v>
      </c>
      <c r="K336">
        <v>1249.42</v>
      </c>
    </row>
    <row r="337" spans="1:11" x14ac:dyDescent="0.3">
      <c r="A337" s="1">
        <v>45901</v>
      </c>
      <c r="B337">
        <v>2025</v>
      </c>
      <c r="C337">
        <v>9</v>
      </c>
      <c r="D337" t="s">
        <v>19</v>
      </c>
      <c r="E337" t="s">
        <v>43</v>
      </c>
      <c r="F337" t="s">
        <v>48</v>
      </c>
      <c r="G337" t="s">
        <v>52</v>
      </c>
      <c r="H337">
        <v>28</v>
      </c>
      <c r="I337">
        <v>112.91050078556469</v>
      </c>
      <c r="J337">
        <v>3161.49</v>
      </c>
      <c r="K337">
        <v>124.31</v>
      </c>
    </row>
    <row r="338" spans="1:11" x14ac:dyDescent="0.3">
      <c r="A338" s="1">
        <v>45931</v>
      </c>
      <c r="B338">
        <v>2025</v>
      </c>
      <c r="C338">
        <v>10</v>
      </c>
      <c r="D338" t="s">
        <v>20</v>
      </c>
      <c r="E338" t="s">
        <v>44</v>
      </c>
      <c r="F338" t="s">
        <v>45</v>
      </c>
      <c r="G338" t="s">
        <v>49</v>
      </c>
      <c r="H338">
        <v>256</v>
      </c>
      <c r="I338">
        <v>86.484508283426308</v>
      </c>
      <c r="J338">
        <v>22140.03</v>
      </c>
      <c r="K338">
        <v>3151.58</v>
      </c>
    </row>
    <row r="339" spans="1:11" x14ac:dyDescent="0.3">
      <c r="A339" s="1">
        <v>45931</v>
      </c>
      <c r="B339">
        <v>2025</v>
      </c>
      <c r="C339">
        <v>10</v>
      </c>
      <c r="D339" t="s">
        <v>20</v>
      </c>
      <c r="E339" t="s">
        <v>44</v>
      </c>
      <c r="F339" t="s">
        <v>45</v>
      </c>
      <c r="G339" t="s">
        <v>50</v>
      </c>
      <c r="H339">
        <v>23</v>
      </c>
      <c r="I339">
        <v>35.132480113812782</v>
      </c>
      <c r="J339">
        <v>808.05</v>
      </c>
      <c r="K339">
        <v>134.13</v>
      </c>
    </row>
    <row r="340" spans="1:11" x14ac:dyDescent="0.3">
      <c r="A340" s="1">
        <v>45931</v>
      </c>
      <c r="B340">
        <v>2025</v>
      </c>
      <c r="C340">
        <v>10</v>
      </c>
      <c r="D340" t="s">
        <v>20</v>
      </c>
      <c r="E340" t="s">
        <v>44</v>
      </c>
      <c r="F340" t="s">
        <v>45</v>
      </c>
      <c r="G340" t="s">
        <v>51</v>
      </c>
      <c r="H340">
        <v>48</v>
      </c>
      <c r="I340">
        <v>42.619064311177667</v>
      </c>
      <c r="J340">
        <v>2045.72</v>
      </c>
      <c r="K340">
        <v>260.64</v>
      </c>
    </row>
    <row r="341" spans="1:11" x14ac:dyDescent="0.3">
      <c r="A341" s="1">
        <v>45931</v>
      </c>
      <c r="B341">
        <v>2025</v>
      </c>
      <c r="C341">
        <v>10</v>
      </c>
      <c r="D341" t="s">
        <v>20</v>
      </c>
      <c r="E341" t="s">
        <v>44</v>
      </c>
      <c r="F341" t="s">
        <v>45</v>
      </c>
      <c r="G341" t="s">
        <v>52</v>
      </c>
      <c r="H341">
        <v>36</v>
      </c>
      <c r="I341">
        <v>86.997136725260859</v>
      </c>
      <c r="J341">
        <v>3131.9</v>
      </c>
      <c r="K341">
        <v>379.08</v>
      </c>
    </row>
    <row r="342" spans="1:11" x14ac:dyDescent="0.3">
      <c r="A342" s="1">
        <v>45931</v>
      </c>
      <c r="B342">
        <v>2025</v>
      </c>
      <c r="C342">
        <v>10</v>
      </c>
      <c r="D342" t="s">
        <v>20</v>
      </c>
      <c r="E342" t="s">
        <v>44</v>
      </c>
      <c r="F342" t="s">
        <v>46</v>
      </c>
      <c r="G342" t="s">
        <v>49</v>
      </c>
      <c r="H342">
        <v>397</v>
      </c>
      <c r="I342">
        <v>146.83849051013621</v>
      </c>
      <c r="J342">
        <v>58294.879999999997</v>
      </c>
      <c r="K342">
        <v>5364.53</v>
      </c>
    </row>
    <row r="343" spans="1:11" x14ac:dyDescent="0.3">
      <c r="A343" s="1">
        <v>45931</v>
      </c>
      <c r="B343">
        <v>2025</v>
      </c>
      <c r="C343">
        <v>10</v>
      </c>
      <c r="D343" t="s">
        <v>20</v>
      </c>
      <c r="E343" t="s">
        <v>44</v>
      </c>
      <c r="F343" t="s">
        <v>46</v>
      </c>
      <c r="G343" t="s">
        <v>50</v>
      </c>
      <c r="H343">
        <v>238</v>
      </c>
      <c r="I343">
        <v>123.5084894123586</v>
      </c>
      <c r="J343">
        <v>29395.02</v>
      </c>
      <c r="K343">
        <v>4462.38</v>
      </c>
    </row>
    <row r="344" spans="1:11" x14ac:dyDescent="0.3">
      <c r="A344" s="1">
        <v>45931</v>
      </c>
      <c r="B344">
        <v>2025</v>
      </c>
      <c r="C344">
        <v>10</v>
      </c>
      <c r="D344" t="s">
        <v>20</v>
      </c>
      <c r="E344" t="s">
        <v>44</v>
      </c>
      <c r="F344" t="s">
        <v>46</v>
      </c>
      <c r="G344" t="s">
        <v>51</v>
      </c>
      <c r="H344">
        <v>287</v>
      </c>
      <c r="I344">
        <v>130.28863203791499</v>
      </c>
      <c r="J344">
        <v>37392.839999999997</v>
      </c>
      <c r="K344">
        <v>7299.65</v>
      </c>
    </row>
    <row r="345" spans="1:11" x14ac:dyDescent="0.3">
      <c r="A345" s="1">
        <v>45931</v>
      </c>
      <c r="B345">
        <v>2025</v>
      </c>
      <c r="C345">
        <v>10</v>
      </c>
      <c r="D345" t="s">
        <v>20</v>
      </c>
      <c r="E345" t="s">
        <v>44</v>
      </c>
      <c r="F345" t="s">
        <v>46</v>
      </c>
      <c r="G345" t="s">
        <v>52</v>
      </c>
      <c r="H345">
        <v>420</v>
      </c>
      <c r="I345">
        <v>89.566399729493895</v>
      </c>
      <c r="J345">
        <v>37617.89</v>
      </c>
      <c r="K345">
        <v>3223.34</v>
      </c>
    </row>
    <row r="346" spans="1:11" x14ac:dyDescent="0.3">
      <c r="A346" s="1">
        <v>45931</v>
      </c>
      <c r="B346">
        <v>2025</v>
      </c>
      <c r="C346">
        <v>10</v>
      </c>
      <c r="D346" t="s">
        <v>20</v>
      </c>
      <c r="E346" t="s">
        <v>44</v>
      </c>
      <c r="F346" t="s">
        <v>47</v>
      </c>
      <c r="G346" t="s">
        <v>49</v>
      </c>
      <c r="H346">
        <v>495</v>
      </c>
      <c r="I346">
        <v>156.47316164221141</v>
      </c>
      <c r="J346">
        <v>77454.22</v>
      </c>
      <c r="K346">
        <v>7970.37</v>
      </c>
    </row>
    <row r="347" spans="1:11" x14ac:dyDescent="0.3">
      <c r="A347" s="1">
        <v>45931</v>
      </c>
      <c r="B347">
        <v>2025</v>
      </c>
      <c r="C347">
        <v>10</v>
      </c>
      <c r="D347" t="s">
        <v>20</v>
      </c>
      <c r="E347" t="s">
        <v>44</v>
      </c>
      <c r="F347" t="s">
        <v>47</v>
      </c>
      <c r="G347" t="s">
        <v>50</v>
      </c>
      <c r="H347">
        <v>329</v>
      </c>
      <c r="I347">
        <v>150.22638712101039</v>
      </c>
      <c r="J347">
        <v>49424.480000000003</v>
      </c>
      <c r="K347">
        <v>8906.7000000000007</v>
      </c>
    </row>
    <row r="348" spans="1:11" x14ac:dyDescent="0.3">
      <c r="A348" s="1">
        <v>45931</v>
      </c>
      <c r="B348">
        <v>2025</v>
      </c>
      <c r="C348">
        <v>10</v>
      </c>
      <c r="D348" t="s">
        <v>20</v>
      </c>
      <c r="E348" t="s">
        <v>44</v>
      </c>
      <c r="F348" t="s">
        <v>47</v>
      </c>
      <c r="G348" t="s">
        <v>51</v>
      </c>
      <c r="H348">
        <v>326</v>
      </c>
      <c r="I348">
        <v>27.1640225097455</v>
      </c>
      <c r="J348">
        <v>8855.4699999999993</v>
      </c>
      <c r="K348">
        <v>1465.58</v>
      </c>
    </row>
    <row r="349" spans="1:11" x14ac:dyDescent="0.3">
      <c r="A349" s="1">
        <v>45931</v>
      </c>
      <c r="B349">
        <v>2025</v>
      </c>
      <c r="C349">
        <v>10</v>
      </c>
      <c r="D349" t="s">
        <v>20</v>
      </c>
      <c r="E349" t="s">
        <v>44</v>
      </c>
      <c r="F349" t="s">
        <v>47</v>
      </c>
      <c r="G349" t="s">
        <v>52</v>
      </c>
      <c r="H349">
        <v>183</v>
      </c>
      <c r="I349">
        <v>146.6187219850066</v>
      </c>
      <c r="J349">
        <v>26831.23</v>
      </c>
      <c r="K349">
        <v>3867.77</v>
      </c>
    </row>
    <row r="350" spans="1:11" x14ac:dyDescent="0.3">
      <c r="A350" s="1">
        <v>45931</v>
      </c>
      <c r="B350">
        <v>2025</v>
      </c>
      <c r="C350">
        <v>10</v>
      </c>
      <c r="D350" t="s">
        <v>20</v>
      </c>
      <c r="E350" t="s">
        <v>44</v>
      </c>
      <c r="F350" t="s">
        <v>48</v>
      </c>
      <c r="G350" t="s">
        <v>49</v>
      </c>
      <c r="H350">
        <v>314</v>
      </c>
      <c r="I350">
        <v>125.9768867315119</v>
      </c>
      <c r="J350">
        <v>39556.74</v>
      </c>
      <c r="K350">
        <v>4448</v>
      </c>
    </row>
    <row r="351" spans="1:11" x14ac:dyDescent="0.3">
      <c r="A351" s="1">
        <v>45931</v>
      </c>
      <c r="B351">
        <v>2025</v>
      </c>
      <c r="C351">
        <v>10</v>
      </c>
      <c r="D351" t="s">
        <v>20</v>
      </c>
      <c r="E351" t="s">
        <v>44</v>
      </c>
      <c r="F351" t="s">
        <v>48</v>
      </c>
      <c r="G351" t="s">
        <v>50</v>
      </c>
      <c r="H351">
        <v>171</v>
      </c>
      <c r="I351">
        <v>187.99765047170399</v>
      </c>
      <c r="J351">
        <v>32147.599999999999</v>
      </c>
      <c r="K351">
        <v>5982.76</v>
      </c>
    </row>
    <row r="352" spans="1:11" x14ac:dyDescent="0.3">
      <c r="A352" s="1">
        <v>45931</v>
      </c>
      <c r="B352">
        <v>2025</v>
      </c>
      <c r="C352">
        <v>10</v>
      </c>
      <c r="D352" t="s">
        <v>20</v>
      </c>
      <c r="E352" t="s">
        <v>44</v>
      </c>
      <c r="F352" t="s">
        <v>48</v>
      </c>
      <c r="G352" t="s">
        <v>51</v>
      </c>
      <c r="H352">
        <v>88</v>
      </c>
      <c r="I352">
        <v>101.9134389671584</v>
      </c>
      <c r="J352">
        <v>8968.3799999999992</v>
      </c>
      <c r="K352">
        <v>1353.82</v>
      </c>
    </row>
    <row r="353" spans="1:11" x14ac:dyDescent="0.3">
      <c r="A353" s="1">
        <v>45931</v>
      </c>
      <c r="B353">
        <v>2025</v>
      </c>
      <c r="C353">
        <v>10</v>
      </c>
      <c r="D353" t="s">
        <v>20</v>
      </c>
      <c r="E353" t="s">
        <v>44</v>
      </c>
      <c r="F353" t="s">
        <v>48</v>
      </c>
      <c r="G353" t="s">
        <v>52</v>
      </c>
      <c r="H353">
        <v>486</v>
      </c>
      <c r="I353">
        <v>123.06480683304839</v>
      </c>
      <c r="J353">
        <v>59809.5</v>
      </c>
      <c r="K353">
        <v>3625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2E2B-CE2B-4A82-98CD-10D014F26646}">
  <dimension ref="A1:G353"/>
  <sheetViews>
    <sheetView workbookViewId="0">
      <selection activeCell="C26" sqref="C26"/>
    </sheetView>
  </sheetViews>
  <sheetFormatPr defaultRowHeight="14.4" x14ac:dyDescent="0.3"/>
  <cols>
    <col min="1" max="1" width="18.5546875" customWidth="1"/>
    <col min="2" max="2" width="14.6640625" customWidth="1"/>
    <col min="3" max="3" width="13.44140625" customWidth="1"/>
    <col min="4" max="4" width="16.77734375" customWidth="1"/>
    <col min="5" max="5" width="18.5546875" customWidth="1"/>
    <col min="6" max="6" width="10.5546875" bestFit="1" customWidth="1"/>
    <col min="7" max="7" width="14.6640625" customWidth="1"/>
  </cols>
  <sheetData>
    <row r="1" spans="1:7" x14ac:dyDescent="0.3">
      <c r="A1" t="s">
        <v>55</v>
      </c>
      <c r="B1" t="s">
        <v>5</v>
      </c>
      <c r="C1" t="s">
        <v>6</v>
      </c>
      <c r="D1" t="s">
        <v>7</v>
      </c>
      <c r="E1" t="s">
        <v>8</v>
      </c>
      <c r="F1" t="s">
        <v>9</v>
      </c>
      <c r="G1" t="s">
        <v>10</v>
      </c>
    </row>
    <row r="2" spans="1:7" x14ac:dyDescent="0.3">
      <c r="A2" t="s">
        <v>23</v>
      </c>
      <c r="B2" t="s">
        <v>45</v>
      </c>
      <c r="C2" t="s">
        <v>49</v>
      </c>
      <c r="D2">
        <v>122</v>
      </c>
      <c r="E2">
        <v>161.34316750344419</v>
      </c>
      <c r="F2">
        <v>19683.87</v>
      </c>
      <c r="G2">
        <v>2772.96</v>
      </c>
    </row>
    <row r="3" spans="1:7" x14ac:dyDescent="0.3">
      <c r="A3" t="s">
        <v>23</v>
      </c>
      <c r="B3" t="s">
        <v>45</v>
      </c>
      <c r="C3" t="s">
        <v>50</v>
      </c>
      <c r="D3">
        <v>40</v>
      </c>
      <c r="E3">
        <v>39.643541684062939</v>
      </c>
      <c r="F3">
        <v>1585.74</v>
      </c>
      <c r="G3">
        <v>281.77</v>
      </c>
    </row>
    <row r="4" spans="1:7" x14ac:dyDescent="0.3">
      <c r="A4" t="s">
        <v>23</v>
      </c>
      <c r="B4" t="s">
        <v>45</v>
      </c>
      <c r="C4" t="s">
        <v>51</v>
      </c>
      <c r="D4">
        <v>486</v>
      </c>
      <c r="E4">
        <v>28.995234005420549</v>
      </c>
      <c r="F4">
        <v>14091.68</v>
      </c>
      <c r="G4">
        <v>1687.91</v>
      </c>
    </row>
    <row r="5" spans="1:7" x14ac:dyDescent="0.3">
      <c r="A5" t="s">
        <v>23</v>
      </c>
      <c r="B5" t="s">
        <v>45</v>
      </c>
      <c r="C5" t="s">
        <v>52</v>
      </c>
      <c r="D5">
        <v>379</v>
      </c>
      <c r="E5">
        <v>144.5337897812486</v>
      </c>
      <c r="F5">
        <v>54778.31</v>
      </c>
      <c r="G5">
        <v>5485.72</v>
      </c>
    </row>
    <row r="6" spans="1:7" x14ac:dyDescent="0.3">
      <c r="A6" t="s">
        <v>23</v>
      </c>
      <c r="B6" t="s">
        <v>46</v>
      </c>
      <c r="C6" t="s">
        <v>49</v>
      </c>
      <c r="D6">
        <v>169</v>
      </c>
      <c r="E6">
        <v>20.718200015149051</v>
      </c>
      <c r="F6">
        <v>3501.38</v>
      </c>
      <c r="G6">
        <v>401.47</v>
      </c>
    </row>
    <row r="7" spans="1:7" x14ac:dyDescent="0.3">
      <c r="A7" t="s">
        <v>23</v>
      </c>
      <c r="B7" t="s">
        <v>46</v>
      </c>
      <c r="C7" t="s">
        <v>50</v>
      </c>
      <c r="D7">
        <v>405</v>
      </c>
      <c r="E7">
        <v>44.546743769349121</v>
      </c>
      <c r="F7">
        <v>18041.43</v>
      </c>
      <c r="G7">
        <v>3109.62</v>
      </c>
    </row>
    <row r="8" spans="1:7" x14ac:dyDescent="0.3">
      <c r="A8" t="s">
        <v>23</v>
      </c>
      <c r="B8" t="s">
        <v>46</v>
      </c>
      <c r="C8" t="s">
        <v>51</v>
      </c>
      <c r="D8">
        <v>296</v>
      </c>
      <c r="E8">
        <v>127.32148682926611</v>
      </c>
      <c r="F8">
        <v>37687.160000000003</v>
      </c>
      <c r="G8">
        <v>5292.95</v>
      </c>
    </row>
    <row r="9" spans="1:7" x14ac:dyDescent="0.3">
      <c r="A9" t="s">
        <v>23</v>
      </c>
      <c r="B9" t="s">
        <v>46</v>
      </c>
      <c r="C9" t="s">
        <v>52</v>
      </c>
      <c r="D9">
        <v>189</v>
      </c>
      <c r="E9">
        <v>18.866476010586929</v>
      </c>
      <c r="F9">
        <v>3565.76</v>
      </c>
      <c r="G9">
        <v>290.41000000000003</v>
      </c>
    </row>
    <row r="10" spans="1:7" x14ac:dyDescent="0.3">
      <c r="A10" t="s">
        <v>23</v>
      </c>
      <c r="B10" t="s">
        <v>47</v>
      </c>
      <c r="C10" t="s">
        <v>49</v>
      </c>
      <c r="D10">
        <v>207</v>
      </c>
      <c r="E10">
        <v>79.60875022580143</v>
      </c>
      <c r="F10">
        <v>16479.009999999998</v>
      </c>
      <c r="G10">
        <v>2790.11</v>
      </c>
    </row>
    <row r="11" spans="1:7" x14ac:dyDescent="0.3">
      <c r="A11" t="s">
        <v>23</v>
      </c>
      <c r="B11" t="s">
        <v>47</v>
      </c>
      <c r="C11" t="s">
        <v>50</v>
      </c>
      <c r="D11">
        <v>70</v>
      </c>
      <c r="E11">
        <v>82.667778340760918</v>
      </c>
      <c r="F11">
        <v>5786.74</v>
      </c>
      <c r="G11">
        <v>1131.22</v>
      </c>
    </row>
    <row r="12" spans="1:7" x14ac:dyDescent="0.3">
      <c r="A12" t="s">
        <v>23</v>
      </c>
      <c r="B12" t="s">
        <v>47</v>
      </c>
      <c r="C12" t="s">
        <v>51</v>
      </c>
      <c r="D12">
        <v>263</v>
      </c>
      <c r="E12">
        <v>122.5587680837881</v>
      </c>
      <c r="F12">
        <v>32232.959999999999</v>
      </c>
      <c r="G12">
        <v>5558.39</v>
      </c>
    </row>
    <row r="13" spans="1:7" x14ac:dyDescent="0.3">
      <c r="A13" t="s">
        <v>23</v>
      </c>
      <c r="B13" t="s">
        <v>47</v>
      </c>
      <c r="C13" t="s">
        <v>52</v>
      </c>
      <c r="D13">
        <v>40</v>
      </c>
      <c r="E13">
        <v>95.594857874213162</v>
      </c>
      <c r="F13">
        <v>3823.79</v>
      </c>
      <c r="G13">
        <v>419.44</v>
      </c>
    </row>
    <row r="14" spans="1:7" x14ac:dyDescent="0.3">
      <c r="A14" t="s">
        <v>23</v>
      </c>
      <c r="B14" t="s">
        <v>48</v>
      </c>
      <c r="C14" t="s">
        <v>49</v>
      </c>
      <c r="D14">
        <v>293</v>
      </c>
      <c r="E14">
        <v>190.2882520781333</v>
      </c>
      <c r="F14">
        <v>55754.46</v>
      </c>
      <c r="G14">
        <v>5742</v>
      </c>
    </row>
    <row r="15" spans="1:7" x14ac:dyDescent="0.3">
      <c r="A15" t="s">
        <v>23</v>
      </c>
      <c r="B15" t="s">
        <v>48</v>
      </c>
      <c r="C15" t="s">
        <v>50</v>
      </c>
      <c r="D15">
        <v>359</v>
      </c>
      <c r="E15">
        <v>55.794838544942223</v>
      </c>
      <c r="F15">
        <v>20030.349999999999</v>
      </c>
      <c r="G15">
        <v>3388.46</v>
      </c>
    </row>
    <row r="16" spans="1:7" x14ac:dyDescent="0.3">
      <c r="A16" t="s">
        <v>23</v>
      </c>
      <c r="B16" t="s">
        <v>48</v>
      </c>
      <c r="C16" t="s">
        <v>51</v>
      </c>
      <c r="D16">
        <v>463</v>
      </c>
      <c r="E16">
        <v>33.187264620507968</v>
      </c>
      <c r="F16">
        <v>15365.7</v>
      </c>
      <c r="G16">
        <v>2064.0300000000002</v>
      </c>
    </row>
    <row r="17" spans="1:7" x14ac:dyDescent="0.3">
      <c r="A17" t="s">
        <v>23</v>
      </c>
      <c r="B17" t="s">
        <v>48</v>
      </c>
      <c r="C17" t="s">
        <v>52</v>
      </c>
      <c r="D17">
        <v>225</v>
      </c>
      <c r="E17">
        <v>84.301515438915757</v>
      </c>
      <c r="F17">
        <v>18967.84</v>
      </c>
      <c r="G17">
        <v>1799.85</v>
      </c>
    </row>
    <row r="18" spans="1:7" x14ac:dyDescent="0.3">
      <c r="A18" t="s">
        <v>24</v>
      </c>
      <c r="B18" t="s">
        <v>45</v>
      </c>
      <c r="C18" t="s">
        <v>49</v>
      </c>
      <c r="D18">
        <v>69</v>
      </c>
      <c r="E18">
        <v>135.87923402725659</v>
      </c>
      <c r="F18">
        <v>9375.67</v>
      </c>
      <c r="G18">
        <v>1258</v>
      </c>
    </row>
    <row r="19" spans="1:7" x14ac:dyDescent="0.3">
      <c r="A19" t="s">
        <v>24</v>
      </c>
      <c r="B19" t="s">
        <v>45</v>
      </c>
      <c r="C19" t="s">
        <v>50</v>
      </c>
      <c r="D19">
        <v>125</v>
      </c>
      <c r="E19">
        <v>117.86306228579841</v>
      </c>
      <c r="F19">
        <v>14732.88</v>
      </c>
      <c r="G19">
        <v>2221.8200000000002</v>
      </c>
    </row>
    <row r="20" spans="1:7" x14ac:dyDescent="0.3">
      <c r="A20" t="s">
        <v>24</v>
      </c>
      <c r="B20" t="s">
        <v>45</v>
      </c>
      <c r="C20" t="s">
        <v>51</v>
      </c>
      <c r="D20">
        <v>496</v>
      </c>
      <c r="E20">
        <v>194.22107927526611</v>
      </c>
      <c r="F20">
        <v>96333.66</v>
      </c>
      <c r="G20">
        <v>15834.63</v>
      </c>
    </row>
    <row r="21" spans="1:7" x14ac:dyDescent="0.3">
      <c r="A21" t="s">
        <v>24</v>
      </c>
      <c r="B21" t="s">
        <v>45</v>
      </c>
      <c r="C21" t="s">
        <v>52</v>
      </c>
      <c r="D21">
        <v>323</v>
      </c>
      <c r="E21">
        <v>72.042746073108731</v>
      </c>
      <c r="F21">
        <v>23269.81</v>
      </c>
      <c r="G21">
        <v>2970.05</v>
      </c>
    </row>
    <row r="22" spans="1:7" x14ac:dyDescent="0.3">
      <c r="A22" t="s">
        <v>24</v>
      </c>
      <c r="B22" t="s">
        <v>46</v>
      </c>
      <c r="C22" t="s">
        <v>49</v>
      </c>
      <c r="D22">
        <v>481</v>
      </c>
      <c r="E22">
        <v>47.236743859637578</v>
      </c>
      <c r="F22">
        <v>22720.87</v>
      </c>
      <c r="G22">
        <v>2446.7399999999998</v>
      </c>
    </row>
    <row r="23" spans="1:7" x14ac:dyDescent="0.3">
      <c r="A23" t="s">
        <v>24</v>
      </c>
      <c r="B23" t="s">
        <v>46</v>
      </c>
      <c r="C23" t="s">
        <v>50</v>
      </c>
      <c r="D23">
        <v>227</v>
      </c>
      <c r="E23">
        <v>151.9908209261024</v>
      </c>
      <c r="F23">
        <v>34501.919999999998</v>
      </c>
      <c r="G23">
        <v>5657.55</v>
      </c>
    </row>
    <row r="24" spans="1:7" x14ac:dyDescent="0.3">
      <c r="A24" t="s">
        <v>24</v>
      </c>
      <c r="B24" t="s">
        <v>46</v>
      </c>
      <c r="C24" t="s">
        <v>51</v>
      </c>
      <c r="D24">
        <v>386</v>
      </c>
      <c r="E24">
        <v>167.46012673886659</v>
      </c>
      <c r="F24">
        <v>64639.61</v>
      </c>
      <c r="G24">
        <v>7308.57</v>
      </c>
    </row>
    <row r="25" spans="1:7" x14ac:dyDescent="0.3">
      <c r="A25" t="s">
        <v>24</v>
      </c>
      <c r="B25" t="s">
        <v>46</v>
      </c>
      <c r="C25" t="s">
        <v>52</v>
      </c>
      <c r="D25">
        <v>399</v>
      </c>
      <c r="E25">
        <v>62.439844584283243</v>
      </c>
      <c r="F25">
        <v>24913.5</v>
      </c>
      <c r="G25">
        <v>1803.44</v>
      </c>
    </row>
    <row r="26" spans="1:7" x14ac:dyDescent="0.3">
      <c r="A26" t="s">
        <v>24</v>
      </c>
      <c r="B26" t="s">
        <v>47</v>
      </c>
      <c r="C26" t="s">
        <v>49</v>
      </c>
      <c r="D26">
        <v>176</v>
      </c>
      <c r="E26">
        <v>162.41742634326761</v>
      </c>
      <c r="F26">
        <v>28585.47</v>
      </c>
      <c r="G26">
        <v>3614.96</v>
      </c>
    </row>
    <row r="27" spans="1:7" x14ac:dyDescent="0.3">
      <c r="A27" t="s">
        <v>24</v>
      </c>
      <c r="B27" t="s">
        <v>47</v>
      </c>
      <c r="C27" t="s">
        <v>50</v>
      </c>
      <c r="D27">
        <v>491</v>
      </c>
      <c r="E27">
        <v>12.675166315866051</v>
      </c>
      <c r="F27">
        <v>6223.51</v>
      </c>
      <c r="G27">
        <v>1320.84</v>
      </c>
    </row>
    <row r="28" spans="1:7" x14ac:dyDescent="0.3">
      <c r="A28" t="s">
        <v>24</v>
      </c>
      <c r="B28" t="s">
        <v>47</v>
      </c>
      <c r="C28" t="s">
        <v>51</v>
      </c>
      <c r="D28">
        <v>100</v>
      </c>
      <c r="E28">
        <v>145.1549710222435</v>
      </c>
      <c r="F28">
        <v>14515.5</v>
      </c>
      <c r="G28">
        <v>2605.83</v>
      </c>
    </row>
    <row r="29" spans="1:7" x14ac:dyDescent="0.3">
      <c r="A29" t="s">
        <v>24</v>
      </c>
      <c r="B29" t="s">
        <v>47</v>
      </c>
      <c r="C29" t="s">
        <v>52</v>
      </c>
      <c r="D29">
        <v>250</v>
      </c>
      <c r="E29">
        <v>133.70463484536941</v>
      </c>
      <c r="F29">
        <v>33426.160000000003</v>
      </c>
      <c r="G29">
        <v>4882.67</v>
      </c>
    </row>
    <row r="30" spans="1:7" x14ac:dyDescent="0.3">
      <c r="A30" t="s">
        <v>24</v>
      </c>
      <c r="B30" t="s">
        <v>48</v>
      </c>
      <c r="C30" t="s">
        <v>49</v>
      </c>
      <c r="D30">
        <v>47</v>
      </c>
      <c r="E30">
        <v>173.98965091636279</v>
      </c>
      <c r="F30">
        <v>8177.51</v>
      </c>
      <c r="G30">
        <v>693.75</v>
      </c>
    </row>
    <row r="31" spans="1:7" x14ac:dyDescent="0.3">
      <c r="A31" t="s">
        <v>24</v>
      </c>
      <c r="B31" t="s">
        <v>48</v>
      </c>
      <c r="C31" t="s">
        <v>50</v>
      </c>
      <c r="D31">
        <v>67</v>
      </c>
      <c r="E31">
        <v>80.455467917670603</v>
      </c>
      <c r="F31">
        <v>5390.52</v>
      </c>
      <c r="G31">
        <v>1061.8900000000001</v>
      </c>
    </row>
    <row r="32" spans="1:7" x14ac:dyDescent="0.3">
      <c r="A32" t="s">
        <v>24</v>
      </c>
      <c r="B32" t="s">
        <v>48</v>
      </c>
      <c r="C32" t="s">
        <v>51</v>
      </c>
      <c r="D32">
        <v>81</v>
      </c>
      <c r="E32">
        <v>71.784831185081941</v>
      </c>
      <c r="F32">
        <v>5814.57</v>
      </c>
      <c r="G32">
        <v>937.6</v>
      </c>
    </row>
    <row r="33" spans="1:7" x14ac:dyDescent="0.3">
      <c r="A33" t="s">
        <v>24</v>
      </c>
      <c r="B33" t="s">
        <v>48</v>
      </c>
      <c r="C33" t="s">
        <v>52</v>
      </c>
      <c r="D33">
        <v>494</v>
      </c>
      <c r="E33">
        <v>116.6362509110632</v>
      </c>
      <c r="F33">
        <v>57618.31</v>
      </c>
      <c r="G33">
        <v>7036.62</v>
      </c>
    </row>
    <row r="34" spans="1:7" x14ac:dyDescent="0.3">
      <c r="A34" t="s">
        <v>25</v>
      </c>
      <c r="B34" t="s">
        <v>45</v>
      </c>
      <c r="C34" t="s">
        <v>49</v>
      </c>
      <c r="D34">
        <v>246</v>
      </c>
      <c r="E34">
        <v>32.722906728277323</v>
      </c>
      <c r="F34">
        <v>8049.84</v>
      </c>
      <c r="G34">
        <v>1203.1199999999999</v>
      </c>
    </row>
    <row r="35" spans="1:7" x14ac:dyDescent="0.3">
      <c r="A35" t="s">
        <v>25</v>
      </c>
      <c r="B35" t="s">
        <v>45</v>
      </c>
      <c r="C35" t="s">
        <v>50</v>
      </c>
      <c r="D35">
        <v>237</v>
      </c>
      <c r="E35">
        <v>54.837134752301587</v>
      </c>
      <c r="F35">
        <v>12996.4</v>
      </c>
      <c r="G35">
        <v>2676.11</v>
      </c>
    </row>
    <row r="36" spans="1:7" x14ac:dyDescent="0.3">
      <c r="A36" t="s">
        <v>25</v>
      </c>
      <c r="B36" t="s">
        <v>45</v>
      </c>
      <c r="C36" t="s">
        <v>51</v>
      </c>
      <c r="D36">
        <v>417</v>
      </c>
      <c r="E36">
        <v>103.82116330923419</v>
      </c>
      <c r="F36">
        <v>43293.43</v>
      </c>
      <c r="G36">
        <v>4658.59</v>
      </c>
    </row>
    <row r="37" spans="1:7" x14ac:dyDescent="0.3">
      <c r="A37" t="s">
        <v>25</v>
      </c>
      <c r="B37" t="s">
        <v>45</v>
      </c>
      <c r="C37" t="s">
        <v>52</v>
      </c>
      <c r="D37">
        <v>61</v>
      </c>
      <c r="E37">
        <v>93.473935354496319</v>
      </c>
      <c r="F37">
        <v>5701.91</v>
      </c>
      <c r="G37">
        <v>720.94</v>
      </c>
    </row>
    <row r="38" spans="1:7" x14ac:dyDescent="0.3">
      <c r="A38" t="s">
        <v>25</v>
      </c>
      <c r="B38" t="s">
        <v>46</v>
      </c>
      <c r="C38" t="s">
        <v>49</v>
      </c>
      <c r="D38">
        <v>198</v>
      </c>
      <c r="E38">
        <v>15.971545280479511</v>
      </c>
      <c r="F38">
        <v>3162.37</v>
      </c>
      <c r="G38">
        <v>258.13</v>
      </c>
    </row>
    <row r="39" spans="1:7" x14ac:dyDescent="0.3">
      <c r="A39" t="s">
        <v>25</v>
      </c>
      <c r="B39" t="s">
        <v>46</v>
      </c>
      <c r="C39" t="s">
        <v>50</v>
      </c>
      <c r="D39">
        <v>115</v>
      </c>
      <c r="E39">
        <v>142.1480564209642</v>
      </c>
      <c r="F39">
        <v>16347.03</v>
      </c>
      <c r="G39">
        <v>3119.83</v>
      </c>
    </row>
    <row r="40" spans="1:7" x14ac:dyDescent="0.3">
      <c r="A40" t="s">
        <v>25</v>
      </c>
      <c r="B40" t="s">
        <v>46</v>
      </c>
      <c r="C40" t="s">
        <v>51</v>
      </c>
      <c r="D40">
        <v>426</v>
      </c>
      <c r="E40">
        <v>124.83930206278529</v>
      </c>
      <c r="F40">
        <v>53181.54</v>
      </c>
      <c r="G40">
        <v>5936.55</v>
      </c>
    </row>
    <row r="41" spans="1:7" x14ac:dyDescent="0.3">
      <c r="A41" t="s">
        <v>25</v>
      </c>
      <c r="B41" t="s">
        <v>46</v>
      </c>
      <c r="C41" t="s">
        <v>52</v>
      </c>
      <c r="D41">
        <v>32</v>
      </c>
      <c r="E41">
        <v>24.626182867470671</v>
      </c>
      <c r="F41">
        <v>788.04</v>
      </c>
      <c r="G41">
        <v>73.92</v>
      </c>
    </row>
    <row r="42" spans="1:7" x14ac:dyDescent="0.3">
      <c r="A42" t="s">
        <v>25</v>
      </c>
      <c r="B42" t="s">
        <v>47</v>
      </c>
      <c r="C42" t="s">
        <v>49</v>
      </c>
      <c r="D42">
        <v>206</v>
      </c>
      <c r="E42">
        <v>142.00913727754391</v>
      </c>
      <c r="F42">
        <v>29253.88</v>
      </c>
      <c r="G42">
        <v>4267.01</v>
      </c>
    </row>
    <row r="43" spans="1:7" x14ac:dyDescent="0.3">
      <c r="A43" t="s">
        <v>25</v>
      </c>
      <c r="B43" t="s">
        <v>47</v>
      </c>
      <c r="C43" t="s">
        <v>50</v>
      </c>
      <c r="D43">
        <v>81</v>
      </c>
      <c r="E43">
        <v>130.34671373698049</v>
      </c>
      <c r="F43">
        <v>10558.08</v>
      </c>
      <c r="G43">
        <v>2300.9499999999998</v>
      </c>
    </row>
    <row r="44" spans="1:7" x14ac:dyDescent="0.3">
      <c r="A44" t="s">
        <v>25</v>
      </c>
      <c r="B44" t="s">
        <v>47</v>
      </c>
      <c r="C44" t="s">
        <v>51</v>
      </c>
      <c r="D44">
        <v>153</v>
      </c>
      <c r="E44">
        <v>96.741568391752949</v>
      </c>
      <c r="F44">
        <v>14801.46</v>
      </c>
      <c r="G44">
        <v>2393.4699999999998</v>
      </c>
    </row>
    <row r="45" spans="1:7" x14ac:dyDescent="0.3">
      <c r="A45" t="s">
        <v>25</v>
      </c>
      <c r="B45" t="s">
        <v>47</v>
      </c>
      <c r="C45" t="s">
        <v>52</v>
      </c>
      <c r="D45">
        <v>465</v>
      </c>
      <c r="E45">
        <v>112.47502596397359</v>
      </c>
      <c r="F45">
        <v>52300.89</v>
      </c>
      <c r="G45">
        <v>4813</v>
      </c>
    </row>
    <row r="46" spans="1:7" x14ac:dyDescent="0.3">
      <c r="A46" t="s">
        <v>25</v>
      </c>
      <c r="B46" t="s">
        <v>48</v>
      </c>
      <c r="C46" t="s">
        <v>49</v>
      </c>
      <c r="D46">
        <v>367</v>
      </c>
      <c r="E46">
        <v>77.696589234625236</v>
      </c>
      <c r="F46">
        <v>28514.65</v>
      </c>
      <c r="G46">
        <v>3131.94</v>
      </c>
    </row>
    <row r="47" spans="1:7" x14ac:dyDescent="0.3">
      <c r="A47" t="s">
        <v>25</v>
      </c>
      <c r="B47" t="s">
        <v>48</v>
      </c>
      <c r="C47" t="s">
        <v>50</v>
      </c>
      <c r="D47">
        <v>302</v>
      </c>
      <c r="E47">
        <v>91.150479838988701</v>
      </c>
      <c r="F47">
        <v>27527.439999999999</v>
      </c>
      <c r="G47">
        <v>5071.08</v>
      </c>
    </row>
    <row r="48" spans="1:7" x14ac:dyDescent="0.3">
      <c r="A48" t="s">
        <v>25</v>
      </c>
      <c r="B48" t="s">
        <v>48</v>
      </c>
      <c r="C48" t="s">
        <v>51</v>
      </c>
      <c r="D48">
        <v>135</v>
      </c>
      <c r="E48">
        <v>76.988082703492111</v>
      </c>
      <c r="F48">
        <v>10393.39</v>
      </c>
      <c r="G48">
        <v>1326.13</v>
      </c>
    </row>
    <row r="49" spans="1:7" x14ac:dyDescent="0.3">
      <c r="A49" t="s">
        <v>25</v>
      </c>
      <c r="B49" t="s">
        <v>48</v>
      </c>
      <c r="C49" t="s">
        <v>52</v>
      </c>
      <c r="D49">
        <v>430</v>
      </c>
      <c r="E49">
        <v>89.308090598268009</v>
      </c>
      <c r="F49">
        <v>38402.480000000003</v>
      </c>
      <c r="G49">
        <v>3259.11</v>
      </c>
    </row>
    <row r="50" spans="1:7" x14ac:dyDescent="0.3">
      <c r="A50" t="s">
        <v>26</v>
      </c>
      <c r="B50" t="s">
        <v>45</v>
      </c>
      <c r="C50" t="s">
        <v>49</v>
      </c>
      <c r="D50">
        <v>184</v>
      </c>
      <c r="E50">
        <v>141.56284624915139</v>
      </c>
      <c r="F50">
        <v>26047.56</v>
      </c>
      <c r="G50">
        <v>2913.69</v>
      </c>
    </row>
    <row r="51" spans="1:7" x14ac:dyDescent="0.3">
      <c r="A51" t="s">
        <v>26</v>
      </c>
      <c r="B51" t="s">
        <v>45</v>
      </c>
      <c r="C51" t="s">
        <v>50</v>
      </c>
      <c r="D51">
        <v>334</v>
      </c>
      <c r="E51">
        <v>71.408557083943492</v>
      </c>
      <c r="F51">
        <v>23850.46</v>
      </c>
      <c r="G51">
        <v>4141.7</v>
      </c>
    </row>
    <row r="52" spans="1:7" x14ac:dyDescent="0.3">
      <c r="A52" t="s">
        <v>26</v>
      </c>
      <c r="B52" t="s">
        <v>45</v>
      </c>
      <c r="C52" t="s">
        <v>51</v>
      </c>
      <c r="D52">
        <v>115</v>
      </c>
      <c r="E52">
        <v>116.0393803832948</v>
      </c>
      <c r="F52">
        <v>13344.53</v>
      </c>
      <c r="G52">
        <v>1958.25</v>
      </c>
    </row>
    <row r="53" spans="1:7" x14ac:dyDescent="0.3">
      <c r="A53" t="s">
        <v>26</v>
      </c>
      <c r="B53" t="s">
        <v>45</v>
      </c>
      <c r="C53" t="s">
        <v>52</v>
      </c>
      <c r="D53">
        <v>461</v>
      </c>
      <c r="E53">
        <v>192.86498603900111</v>
      </c>
      <c r="F53">
        <v>88910.76</v>
      </c>
      <c r="G53">
        <v>9519.7199999999993</v>
      </c>
    </row>
    <row r="54" spans="1:7" x14ac:dyDescent="0.3">
      <c r="A54" t="s">
        <v>26</v>
      </c>
      <c r="B54" t="s">
        <v>46</v>
      </c>
      <c r="C54" t="s">
        <v>49</v>
      </c>
      <c r="D54">
        <v>314</v>
      </c>
      <c r="E54">
        <v>104.4772161195532</v>
      </c>
      <c r="F54">
        <v>32805.85</v>
      </c>
      <c r="G54">
        <v>2904.94</v>
      </c>
    </row>
    <row r="55" spans="1:7" x14ac:dyDescent="0.3">
      <c r="A55" t="s">
        <v>26</v>
      </c>
      <c r="B55" t="s">
        <v>46</v>
      </c>
      <c r="C55" t="s">
        <v>50</v>
      </c>
      <c r="D55">
        <v>100</v>
      </c>
      <c r="E55">
        <v>60.68839271230415</v>
      </c>
      <c r="F55">
        <v>6068.84</v>
      </c>
      <c r="G55">
        <v>911.23</v>
      </c>
    </row>
    <row r="56" spans="1:7" x14ac:dyDescent="0.3">
      <c r="A56" t="s">
        <v>26</v>
      </c>
      <c r="B56" t="s">
        <v>46</v>
      </c>
      <c r="C56" t="s">
        <v>51</v>
      </c>
      <c r="D56">
        <v>21</v>
      </c>
      <c r="E56">
        <v>105.5090144134837</v>
      </c>
      <c r="F56">
        <v>2215.69</v>
      </c>
      <c r="G56">
        <v>301.67</v>
      </c>
    </row>
    <row r="57" spans="1:7" x14ac:dyDescent="0.3">
      <c r="A57" t="s">
        <v>26</v>
      </c>
      <c r="B57" t="s">
        <v>46</v>
      </c>
      <c r="C57" t="s">
        <v>52</v>
      </c>
      <c r="D57">
        <v>149</v>
      </c>
      <c r="E57">
        <v>110.87757083025591</v>
      </c>
      <c r="F57">
        <v>16520.759999999998</v>
      </c>
      <c r="G57">
        <v>1586.5</v>
      </c>
    </row>
    <row r="58" spans="1:7" x14ac:dyDescent="0.3">
      <c r="A58" t="s">
        <v>26</v>
      </c>
      <c r="B58" t="s">
        <v>47</v>
      </c>
      <c r="C58" t="s">
        <v>49</v>
      </c>
      <c r="D58">
        <v>237</v>
      </c>
      <c r="E58">
        <v>197.2735862810141</v>
      </c>
      <c r="F58">
        <v>46753.84</v>
      </c>
      <c r="G58">
        <v>7263.02</v>
      </c>
    </row>
    <row r="59" spans="1:7" x14ac:dyDescent="0.3">
      <c r="A59" t="s">
        <v>26</v>
      </c>
      <c r="B59" t="s">
        <v>47</v>
      </c>
      <c r="C59" t="s">
        <v>50</v>
      </c>
      <c r="D59">
        <v>222</v>
      </c>
      <c r="E59">
        <v>80.23434665166684</v>
      </c>
      <c r="F59">
        <v>17812.02</v>
      </c>
      <c r="G59">
        <v>3152.8</v>
      </c>
    </row>
    <row r="60" spans="1:7" x14ac:dyDescent="0.3">
      <c r="A60" t="s">
        <v>26</v>
      </c>
      <c r="B60" t="s">
        <v>47</v>
      </c>
      <c r="C60" t="s">
        <v>51</v>
      </c>
      <c r="D60">
        <v>420</v>
      </c>
      <c r="E60">
        <v>148.36110623625331</v>
      </c>
      <c r="F60">
        <v>62311.66</v>
      </c>
      <c r="G60">
        <v>12341.19</v>
      </c>
    </row>
    <row r="61" spans="1:7" x14ac:dyDescent="0.3">
      <c r="A61" t="s">
        <v>26</v>
      </c>
      <c r="B61" t="s">
        <v>47</v>
      </c>
      <c r="C61" t="s">
        <v>52</v>
      </c>
      <c r="D61">
        <v>217</v>
      </c>
      <c r="E61">
        <v>85.776644064465088</v>
      </c>
      <c r="F61">
        <v>18613.53</v>
      </c>
      <c r="G61">
        <v>1711.76</v>
      </c>
    </row>
    <row r="62" spans="1:7" x14ac:dyDescent="0.3">
      <c r="A62" t="s">
        <v>26</v>
      </c>
      <c r="B62" t="s">
        <v>48</v>
      </c>
      <c r="C62" t="s">
        <v>49</v>
      </c>
      <c r="D62">
        <v>259</v>
      </c>
      <c r="E62">
        <v>161.68557374706469</v>
      </c>
      <c r="F62">
        <v>41876.559999999998</v>
      </c>
      <c r="G62">
        <v>4839.34</v>
      </c>
    </row>
    <row r="63" spans="1:7" x14ac:dyDescent="0.3">
      <c r="A63" t="s">
        <v>26</v>
      </c>
      <c r="B63" t="s">
        <v>48</v>
      </c>
      <c r="C63" t="s">
        <v>50</v>
      </c>
      <c r="D63">
        <v>483</v>
      </c>
      <c r="E63">
        <v>17.74727689540514</v>
      </c>
      <c r="F63">
        <v>8571.93</v>
      </c>
      <c r="G63">
        <v>1294.8599999999999</v>
      </c>
    </row>
    <row r="64" spans="1:7" x14ac:dyDescent="0.3">
      <c r="A64" t="s">
        <v>26</v>
      </c>
      <c r="B64" t="s">
        <v>48</v>
      </c>
      <c r="C64" t="s">
        <v>51</v>
      </c>
      <c r="D64">
        <v>167</v>
      </c>
      <c r="E64">
        <v>71.932191988358113</v>
      </c>
      <c r="F64">
        <v>12012.68</v>
      </c>
      <c r="G64">
        <v>1914.37</v>
      </c>
    </row>
    <row r="65" spans="1:7" x14ac:dyDescent="0.3">
      <c r="A65" t="s">
        <v>26</v>
      </c>
      <c r="B65" t="s">
        <v>48</v>
      </c>
      <c r="C65" t="s">
        <v>52</v>
      </c>
      <c r="D65">
        <v>166</v>
      </c>
      <c r="E65">
        <v>76.246537585428584</v>
      </c>
      <c r="F65">
        <v>12656.93</v>
      </c>
      <c r="G65">
        <v>961.55</v>
      </c>
    </row>
    <row r="66" spans="1:7" x14ac:dyDescent="0.3">
      <c r="A66" t="s">
        <v>27</v>
      </c>
      <c r="B66" t="s">
        <v>45</v>
      </c>
      <c r="C66" t="s">
        <v>49</v>
      </c>
      <c r="D66">
        <v>218</v>
      </c>
      <c r="E66">
        <v>43.129621510948382</v>
      </c>
      <c r="F66">
        <v>9402.26</v>
      </c>
      <c r="G66">
        <v>1049.4000000000001</v>
      </c>
    </row>
    <row r="67" spans="1:7" x14ac:dyDescent="0.3">
      <c r="A67" t="s">
        <v>27</v>
      </c>
      <c r="B67" t="s">
        <v>45</v>
      </c>
      <c r="C67" t="s">
        <v>50</v>
      </c>
      <c r="D67">
        <v>357</v>
      </c>
      <c r="E67">
        <v>169.16492012239229</v>
      </c>
      <c r="F67">
        <v>60391.88</v>
      </c>
      <c r="G67">
        <v>13346.53</v>
      </c>
    </row>
    <row r="68" spans="1:7" x14ac:dyDescent="0.3">
      <c r="A68" t="s">
        <v>27</v>
      </c>
      <c r="B68" t="s">
        <v>45</v>
      </c>
      <c r="C68" t="s">
        <v>51</v>
      </c>
      <c r="D68">
        <v>286</v>
      </c>
      <c r="E68">
        <v>74.802606699549116</v>
      </c>
      <c r="F68">
        <v>21393.55</v>
      </c>
      <c r="G68">
        <v>3270.33</v>
      </c>
    </row>
    <row r="69" spans="1:7" x14ac:dyDescent="0.3">
      <c r="A69" t="s">
        <v>27</v>
      </c>
      <c r="B69" t="s">
        <v>45</v>
      </c>
      <c r="C69" t="s">
        <v>52</v>
      </c>
      <c r="D69">
        <v>271</v>
      </c>
      <c r="E69">
        <v>43.241436148227884</v>
      </c>
      <c r="F69">
        <v>11718.43</v>
      </c>
      <c r="G69">
        <v>1419.36</v>
      </c>
    </row>
    <row r="70" spans="1:7" x14ac:dyDescent="0.3">
      <c r="A70" t="s">
        <v>27</v>
      </c>
      <c r="B70" t="s">
        <v>46</v>
      </c>
      <c r="C70" t="s">
        <v>49</v>
      </c>
      <c r="D70">
        <v>131</v>
      </c>
      <c r="E70">
        <v>115.48815420389781</v>
      </c>
      <c r="F70">
        <v>15128.95</v>
      </c>
      <c r="G70">
        <v>1177.79</v>
      </c>
    </row>
    <row r="71" spans="1:7" x14ac:dyDescent="0.3">
      <c r="A71" t="s">
        <v>27</v>
      </c>
      <c r="B71" t="s">
        <v>46</v>
      </c>
      <c r="C71" t="s">
        <v>50</v>
      </c>
      <c r="D71">
        <v>323</v>
      </c>
      <c r="E71">
        <v>193.42967674487079</v>
      </c>
      <c r="F71">
        <v>62477.79</v>
      </c>
      <c r="G71">
        <v>10851.93</v>
      </c>
    </row>
    <row r="72" spans="1:7" x14ac:dyDescent="0.3">
      <c r="A72" t="s">
        <v>27</v>
      </c>
      <c r="B72" t="s">
        <v>46</v>
      </c>
      <c r="C72" t="s">
        <v>51</v>
      </c>
      <c r="D72">
        <v>472</v>
      </c>
      <c r="E72">
        <v>181.07943086103279</v>
      </c>
      <c r="F72">
        <v>85469.49</v>
      </c>
      <c r="G72">
        <v>9504.14</v>
      </c>
    </row>
    <row r="73" spans="1:7" x14ac:dyDescent="0.3">
      <c r="A73" t="s">
        <v>27</v>
      </c>
      <c r="B73" t="s">
        <v>46</v>
      </c>
      <c r="C73" t="s">
        <v>52</v>
      </c>
      <c r="D73">
        <v>118</v>
      </c>
      <c r="E73">
        <v>143.06798769482651</v>
      </c>
      <c r="F73">
        <v>16882.02</v>
      </c>
      <c r="G73">
        <v>1921.42</v>
      </c>
    </row>
    <row r="74" spans="1:7" x14ac:dyDescent="0.3">
      <c r="A74" t="s">
        <v>27</v>
      </c>
      <c r="B74" t="s">
        <v>47</v>
      </c>
      <c r="C74" t="s">
        <v>49</v>
      </c>
      <c r="D74">
        <v>227</v>
      </c>
      <c r="E74">
        <v>180.45094939098959</v>
      </c>
      <c r="F74">
        <v>40962.370000000003</v>
      </c>
      <c r="G74">
        <v>5939.95</v>
      </c>
    </row>
    <row r="75" spans="1:7" x14ac:dyDescent="0.3">
      <c r="A75" t="s">
        <v>27</v>
      </c>
      <c r="B75" t="s">
        <v>47</v>
      </c>
      <c r="C75" t="s">
        <v>50</v>
      </c>
      <c r="D75">
        <v>427</v>
      </c>
      <c r="E75">
        <v>171.67640526582741</v>
      </c>
      <c r="F75">
        <v>73305.83</v>
      </c>
      <c r="G75">
        <v>15169.1</v>
      </c>
    </row>
    <row r="76" spans="1:7" x14ac:dyDescent="0.3">
      <c r="A76" t="s">
        <v>27</v>
      </c>
      <c r="B76" t="s">
        <v>47</v>
      </c>
      <c r="C76" t="s">
        <v>51</v>
      </c>
      <c r="D76">
        <v>132</v>
      </c>
      <c r="E76">
        <v>40.709455677976621</v>
      </c>
      <c r="F76">
        <v>5373.65</v>
      </c>
      <c r="G76">
        <v>937.84</v>
      </c>
    </row>
    <row r="77" spans="1:7" x14ac:dyDescent="0.3">
      <c r="A77" t="s">
        <v>27</v>
      </c>
      <c r="B77" t="s">
        <v>47</v>
      </c>
      <c r="C77" t="s">
        <v>52</v>
      </c>
      <c r="D77">
        <v>246</v>
      </c>
      <c r="E77">
        <v>80.733725646731187</v>
      </c>
      <c r="F77">
        <v>19860.5</v>
      </c>
      <c r="G77">
        <v>2719.86</v>
      </c>
    </row>
    <row r="78" spans="1:7" x14ac:dyDescent="0.3">
      <c r="A78" t="s">
        <v>27</v>
      </c>
      <c r="B78" t="s">
        <v>48</v>
      </c>
      <c r="C78" t="s">
        <v>49</v>
      </c>
      <c r="D78">
        <v>492</v>
      </c>
      <c r="E78">
        <v>136.0653361305306</v>
      </c>
      <c r="F78">
        <v>66944.149999999994</v>
      </c>
      <c r="G78">
        <v>10196.629999999999</v>
      </c>
    </row>
    <row r="79" spans="1:7" x14ac:dyDescent="0.3">
      <c r="A79" t="s">
        <v>27</v>
      </c>
      <c r="B79" t="s">
        <v>48</v>
      </c>
      <c r="C79" t="s">
        <v>50</v>
      </c>
      <c r="D79">
        <v>227</v>
      </c>
      <c r="E79">
        <v>198.94691789605591</v>
      </c>
      <c r="F79">
        <v>45160.95</v>
      </c>
      <c r="G79">
        <v>8331.14</v>
      </c>
    </row>
    <row r="80" spans="1:7" x14ac:dyDescent="0.3">
      <c r="A80" t="s">
        <v>27</v>
      </c>
      <c r="B80" t="s">
        <v>48</v>
      </c>
      <c r="C80" t="s">
        <v>51</v>
      </c>
      <c r="D80">
        <v>180</v>
      </c>
      <c r="E80">
        <v>13.43431908694896</v>
      </c>
      <c r="F80">
        <v>2418.1799999999998</v>
      </c>
      <c r="G80">
        <v>286.31</v>
      </c>
    </row>
    <row r="81" spans="1:7" x14ac:dyDescent="0.3">
      <c r="A81" t="s">
        <v>27</v>
      </c>
      <c r="B81" t="s">
        <v>48</v>
      </c>
      <c r="C81" t="s">
        <v>52</v>
      </c>
      <c r="D81">
        <v>403</v>
      </c>
      <c r="E81">
        <v>151.39239938074681</v>
      </c>
      <c r="F81">
        <v>61011.14</v>
      </c>
      <c r="G81">
        <v>5765.2</v>
      </c>
    </row>
    <row r="82" spans="1:7" x14ac:dyDescent="0.3">
      <c r="A82" t="s">
        <v>28</v>
      </c>
      <c r="B82" t="s">
        <v>45</v>
      </c>
      <c r="C82" t="s">
        <v>49</v>
      </c>
      <c r="D82">
        <v>214</v>
      </c>
      <c r="E82">
        <v>134.94644953706521</v>
      </c>
      <c r="F82">
        <v>28878.54</v>
      </c>
      <c r="G82">
        <v>3253.09</v>
      </c>
    </row>
    <row r="83" spans="1:7" x14ac:dyDescent="0.3">
      <c r="A83" t="s">
        <v>28</v>
      </c>
      <c r="B83" t="s">
        <v>45</v>
      </c>
      <c r="C83" t="s">
        <v>50</v>
      </c>
      <c r="D83">
        <v>390</v>
      </c>
      <c r="E83">
        <v>130.90319745532011</v>
      </c>
      <c r="F83">
        <v>51052.25</v>
      </c>
      <c r="G83">
        <v>9848.86</v>
      </c>
    </row>
    <row r="84" spans="1:7" x14ac:dyDescent="0.3">
      <c r="A84" t="s">
        <v>28</v>
      </c>
      <c r="B84" t="s">
        <v>45</v>
      </c>
      <c r="C84" t="s">
        <v>51</v>
      </c>
      <c r="D84">
        <v>41</v>
      </c>
      <c r="E84">
        <v>56.358032242025878</v>
      </c>
      <c r="F84">
        <v>2310.6799999999998</v>
      </c>
      <c r="G84">
        <v>366.15</v>
      </c>
    </row>
    <row r="85" spans="1:7" x14ac:dyDescent="0.3">
      <c r="A85" t="s">
        <v>28</v>
      </c>
      <c r="B85" t="s">
        <v>45</v>
      </c>
      <c r="C85" t="s">
        <v>52</v>
      </c>
      <c r="D85">
        <v>457</v>
      </c>
      <c r="E85">
        <v>182.1587696665253</v>
      </c>
      <c r="F85">
        <v>83246.559999999998</v>
      </c>
      <c r="G85">
        <v>9725.1200000000008</v>
      </c>
    </row>
    <row r="86" spans="1:7" x14ac:dyDescent="0.3">
      <c r="A86" t="s">
        <v>28</v>
      </c>
      <c r="B86" t="s">
        <v>46</v>
      </c>
      <c r="C86" t="s">
        <v>49</v>
      </c>
      <c r="D86">
        <v>46</v>
      </c>
      <c r="E86">
        <v>161.0141476729132</v>
      </c>
      <c r="F86">
        <v>7406.65</v>
      </c>
      <c r="G86">
        <v>1219.79</v>
      </c>
    </row>
    <row r="87" spans="1:7" x14ac:dyDescent="0.3">
      <c r="A87" t="s">
        <v>28</v>
      </c>
      <c r="B87" t="s">
        <v>46</v>
      </c>
      <c r="C87" t="s">
        <v>50</v>
      </c>
      <c r="D87">
        <v>467</v>
      </c>
      <c r="E87">
        <v>174.19183736366159</v>
      </c>
      <c r="F87">
        <v>81347.59</v>
      </c>
      <c r="G87">
        <v>13981.64</v>
      </c>
    </row>
    <row r="88" spans="1:7" x14ac:dyDescent="0.3">
      <c r="A88" t="s">
        <v>28</v>
      </c>
      <c r="B88" t="s">
        <v>46</v>
      </c>
      <c r="C88" t="s">
        <v>51</v>
      </c>
      <c r="D88">
        <v>336</v>
      </c>
      <c r="E88">
        <v>104.8467421781029</v>
      </c>
      <c r="F88">
        <v>35228.51</v>
      </c>
      <c r="G88">
        <v>5974.65</v>
      </c>
    </row>
    <row r="89" spans="1:7" x14ac:dyDescent="0.3">
      <c r="A89" t="s">
        <v>28</v>
      </c>
      <c r="B89" t="s">
        <v>46</v>
      </c>
      <c r="C89" t="s">
        <v>52</v>
      </c>
      <c r="D89">
        <v>36</v>
      </c>
      <c r="E89">
        <v>198.96459705149479</v>
      </c>
      <c r="F89">
        <v>7162.73</v>
      </c>
      <c r="G89">
        <v>701.49</v>
      </c>
    </row>
    <row r="90" spans="1:7" x14ac:dyDescent="0.3">
      <c r="A90" t="s">
        <v>28</v>
      </c>
      <c r="B90" t="s">
        <v>47</v>
      </c>
      <c r="C90" t="s">
        <v>49</v>
      </c>
      <c r="D90">
        <v>177</v>
      </c>
      <c r="E90">
        <v>191.2464296304916</v>
      </c>
      <c r="F90">
        <v>33850.620000000003</v>
      </c>
      <c r="G90">
        <v>4587.8</v>
      </c>
    </row>
    <row r="91" spans="1:7" x14ac:dyDescent="0.3">
      <c r="A91" t="s">
        <v>28</v>
      </c>
      <c r="B91" t="s">
        <v>47</v>
      </c>
      <c r="C91" t="s">
        <v>50</v>
      </c>
      <c r="D91">
        <v>252</v>
      </c>
      <c r="E91">
        <v>191.08365093455109</v>
      </c>
      <c r="F91">
        <v>48153.08</v>
      </c>
      <c r="G91">
        <v>10318.24</v>
      </c>
    </row>
    <row r="92" spans="1:7" x14ac:dyDescent="0.3">
      <c r="A92" t="s">
        <v>28</v>
      </c>
      <c r="B92" t="s">
        <v>47</v>
      </c>
      <c r="C92" t="s">
        <v>51</v>
      </c>
      <c r="D92">
        <v>368</v>
      </c>
      <c r="E92">
        <v>91.354988180289723</v>
      </c>
      <c r="F92">
        <v>33618.639999999999</v>
      </c>
      <c r="G92">
        <v>5410.95</v>
      </c>
    </row>
    <row r="93" spans="1:7" x14ac:dyDescent="0.3">
      <c r="A93" t="s">
        <v>28</v>
      </c>
      <c r="B93" t="s">
        <v>47</v>
      </c>
      <c r="C93" t="s">
        <v>52</v>
      </c>
      <c r="D93">
        <v>488</v>
      </c>
      <c r="E93">
        <v>46.273095918565737</v>
      </c>
      <c r="F93">
        <v>22581.27</v>
      </c>
      <c r="G93">
        <v>3060.69</v>
      </c>
    </row>
    <row r="94" spans="1:7" x14ac:dyDescent="0.3">
      <c r="A94" t="s">
        <v>28</v>
      </c>
      <c r="B94" t="s">
        <v>48</v>
      </c>
      <c r="C94" t="s">
        <v>49</v>
      </c>
      <c r="D94">
        <v>180</v>
      </c>
      <c r="E94">
        <v>70.215180979692747</v>
      </c>
      <c r="F94">
        <v>12638.73</v>
      </c>
      <c r="G94">
        <v>1507.57</v>
      </c>
    </row>
    <row r="95" spans="1:7" x14ac:dyDescent="0.3">
      <c r="A95" t="s">
        <v>28</v>
      </c>
      <c r="B95" t="s">
        <v>48</v>
      </c>
      <c r="C95" t="s">
        <v>50</v>
      </c>
      <c r="D95">
        <v>242</v>
      </c>
      <c r="E95">
        <v>170.40049673799919</v>
      </c>
      <c r="F95">
        <v>41236.92</v>
      </c>
      <c r="G95">
        <v>6189.05</v>
      </c>
    </row>
    <row r="96" spans="1:7" x14ac:dyDescent="0.3">
      <c r="A96" t="s">
        <v>28</v>
      </c>
      <c r="B96" t="s">
        <v>48</v>
      </c>
      <c r="C96" t="s">
        <v>51</v>
      </c>
      <c r="D96">
        <v>342</v>
      </c>
      <c r="E96">
        <v>118.3116223169793</v>
      </c>
      <c r="F96">
        <v>40462.57</v>
      </c>
      <c r="G96">
        <v>6053.97</v>
      </c>
    </row>
    <row r="97" spans="1:7" x14ac:dyDescent="0.3">
      <c r="A97" t="s">
        <v>28</v>
      </c>
      <c r="B97" t="s">
        <v>48</v>
      </c>
      <c r="C97" t="s">
        <v>52</v>
      </c>
      <c r="D97">
        <v>361</v>
      </c>
      <c r="E97">
        <v>78.142888446271144</v>
      </c>
      <c r="F97">
        <v>28209.58</v>
      </c>
      <c r="G97">
        <v>2223.5100000000002</v>
      </c>
    </row>
    <row r="98" spans="1:7" x14ac:dyDescent="0.3">
      <c r="A98" t="s">
        <v>29</v>
      </c>
      <c r="B98" t="s">
        <v>45</v>
      </c>
      <c r="C98" t="s">
        <v>49</v>
      </c>
      <c r="D98">
        <v>146</v>
      </c>
      <c r="E98">
        <v>108.48263394911</v>
      </c>
      <c r="F98">
        <v>15838.46</v>
      </c>
      <c r="G98">
        <v>2172.34</v>
      </c>
    </row>
    <row r="99" spans="1:7" x14ac:dyDescent="0.3">
      <c r="A99" t="s">
        <v>29</v>
      </c>
      <c r="B99" t="s">
        <v>45</v>
      </c>
      <c r="C99" t="s">
        <v>50</v>
      </c>
      <c r="D99">
        <v>436</v>
      </c>
      <c r="E99">
        <v>35.958052973985467</v>
      </c>
      <c r="F99">
        <v>15677.71</v>
      </c>
      <c r="G99">
        <v>3154.6</v>
      </c>
    </row>
    <row r="100" spans="1:7" x14ac:dyDescent="0.3">
      <c r="A100" t="s">
        <v>29</v>
      </c>
      <c r="B100" t="s">
        <v>45</v>
      </c>
      <c r="C100" t="s">
        <v>51</v>
      </c>
      <c r="D100">
        <v>265</v>
      </c>
      <c r="E100">
        <v>78.303318731753478</v>
      </c>
      <c r="F100">
        <v>20750.38</v>
      </c>
      <c r="G100">
        <v>3695.69</v>
      </c>
    </row>
    <row r="101" spans="1:7" x14ac:dyDescent="0.3">
      <c r="A101" t="s">
        <v>29</v>
      </c>
      <c r="B101" t="s">
        <v>45</v>
      </c>
      <c r="C101" t="s">
        <v>52</v>
      </c>
      <c r="D101">
        <v>374</v>
      </c>
      <c r="E101">
        <v>58.679319282947027</v>
      </c>
      <c r="F101">
        <v>21946.07</v>
      </c>
      <c r="G101">
        <v>2149</v>
      </c>
    </row>
    <row r="102" spans="1:7" x14ac:dyDescent="0.3">
      <c r="A102" t="s">
        <v>29</v>
      </c>
      <c r="B102" t="s">
        <v>46</v>
      </c>
      <c r="C102" t="s">
        <v>49</v>
      </c>
      <c r="D102">
        <v>427</v>
      </c>
      <c r="E102">
        <v>183.51570498572951</v>
      </c>
      <c r="F102">
        <v>78361.210000000006</v>
      </c>
      <c r="G102">
        <v>9426.93</v>
      </c>
    </row>
    <row r="103" spans="1:7" x14ac:dyDescent="0.3">
      <c r="A103" t="s">
        <v>29</v>
      </c>
      <c r="B103" t="s">
        <v>46</v>
      </c>
      <c r="C103" t="s">
        <v>50</v>
      </c>
      <c r="D103">
        <v>192</v>
      </c>
      <c r="E103">
        <v>46.912051167288027</v>
      </c>
      <c r="F103">
        <v>9007.11</v>
      </c>
      <c r="G103">
        <v>2225.25</v>
      </c>
    </row>
    <row r="104" spans="1:7" x14ac:dyDescent="0.3">
      <c r="A104" t="s">
        <v>29</v>
      </c>
      <c r="B104" t="s">
        <v>46</v>
      </c>
      <c r="C104" t="s">
        <v>51</v>
      </c>
      <c r="D104">
        <v>283</v>
      </c>
      <c r="E104">
        <v>143.3737066789636</v>
      </c>
      <c r="F104">
        <v>40574.76</v>
      </c>
      <c r="G104">
        <v>5868.97</v>
      </c>
    </row>
    <row r="105" spans="1:7" x14ac:dyDescent="0.3">
      <c r="A105" t="s">
        <v>29</v>
      </c>
      <c r="B105" t="s">
        <v>46</v>
      </c>
      <c r="C105" t="s">
        <v>52</v>
      </c>
      <c r="D105">
        <v>490</v>
      </c>
      <c r="E105">
        <v>15.24718665600389</v>
      </c>
      <c r="F105">
        <v>7471.12</v>
      </c>
      <c r="G105">
        <v>698.73</v>
      </c>
    </row>
    <row r="106" spans="1:7" x14ac:dyDescent="0.3">
      <c r="A106" t="s">
        <v>29</v>
      </c>
      <c r="B106" t="s">
        <v>47</v>
      </c>
      <c r="C106" t="s">
        <v>49</v>
      </c>
      <c r="D106">
        <v>373</v>
      </c>
      <c r="E106">
        <v>27.856568569765109</v>
      </c>
      <c r="F106">
        <v>10390.5</v>
      </c>
      <c r="G106">
        <v>1353.81</v>
      </c>
    </row>
    <row r="107" spans="1:7" x14ac:dyDescent="0.3">
      <c r="A107" t="s">
        <v>29</v>
      </c>
      <c r="B107" t="s">
        <v>47</v>
      </c>
      <c r="C107" t="s">
        <v>50</v>
      </c>
      <c r="D107">
        <v>172</v>
      </c>
      <c r="E107">
        <v>39.457907178271398</v>
      </c>
      <c r="F107">
        <v>6786.76</v>
      </c>
      <c r="G107">
        <v>1368.47</v>
      </c>
    </row>
    <row r="108" spans="1:7" x14ac:dyDescent="0.3">
      <c r="A108" t="s">
        <v>29</v>
      </c>
      <c r="B108" t="s">
        <v>47</v>
      </c>
      <c r="C108" t="s">
        <v>51</v>
      </c>
      <c r="D108">
        <v>209</v>
      </c>
      <c r="E108">
        <v>64.442837904374045</v>
      </c>
      <c r="F108">
        <v>13468.55</v>
      </c>
      <c r="G108">
        <v>2177.9899999999998</v>
      </c>
    </row>
    <row r="109" spans="1:7" x14ac:dyDescent="0.3">
      <c r="A109" t="s">
        <v>29</v>
      </c>
      <c r="B109" t="s">
        <v>47</v>
      </c>
      <c r="C109" t="s">
        <v>52</v>
      </c>
      <c r="D109">
        <v>199</v>
      </c>
      <c r="E109">
        <v>17.378599541590411</v>
      </c>
      <c r="F109">
        <v>3458.34</v>
      </c>
      <c r="G109">
        <v>420.55</v>
      </c>
    </row>
    <row r="110" spans="1:7" x14ac:dyDescent="0.3">
      <c r="A110" t="s">
        <v>29</v>
      </c>
      <c r="B110" t="s">
        <v>48</v>
      </c>
      <c r="C110" t="s">
        <v>49</v>
      </c>
      <c r="D110">
        <v>290</v>
      </c>
      <c r="E110">
        <v>78.436221868139953</v>
      </c>
      <c r="F110">
        <v>22746.5</v>
      </c>
      <c r="G110">
        <v>2645.09</v>
      </c>
    </row>
    <row r="111" spans="1:7" x14ac:dyDescent="0.3">
      <c r="A111" t="s">
        <v>29</v>
      </c>
      <c r="B111" t="s">
        <v>48</v>
      </c>
      <c r="C111" t="s">
        <v>50</v>
      </c>
      <c r="D111">
        <v>72</v>
      </c>
      <c r="E111">
        <v>61.593154005750961</v>
      </c>
      <c r="F111">
        <v>4434.71</v>
      </c>
      <c r="G111">
        <v>680.48</v>
      </c>
    </row>
    <row r="112" spans="1:7" x14ac:dyDescent="0.3">
      <c r="A112" t="s">
        <v>29</v>
      </c>
      <c r="B112" t="s">
        <v>48</v>
      </c>
      <c r="C112" t="s">
        <v>51</v>
      </c>
      <c r="D112">
        <v>127</v>
      </c>
      <c r="E112">
        <v>128.34919040560999</v>
      </c>
      <c r="F112">
        <v>16300.35</v>
      </c>
      <c r="G112">
        <v>3142.39</v>
      </c>
    </row>
    <row r="113" spans="1:7" x14ac:dyDescent="0.3">
      <c r="A113" t="s">
        <v>29</v>
      </c>
      <c r="B113" t="s">
        <v>48</v>
      </c>
      <c r="C113" t="s">
        <v>52</v>
      </c>
      <c r="D113">
        <v>330</v>
      </c>
      <c r="E113">
        <v>36.287087559382257</v>
      </c>
      <c r="F113">
        <v>11974.74</v>
      </c>
      <c r="G113">
        <v>1579.09</v>
      </c>
    </row>
    <row r="114" spans="1:7" x14ac:dyDescent="0.3">
      <c r="A114" t="s">
        <v>30</v>
      </c>
      <c r="B114" t="s">
        <v>45</v>
      </c>
      <c r="C114" t="s">
        <v>49</v>
      </c>
      <c r="D114">
        <v>163</v>
      </c>
      <c r="E114">
        <v>195.4118950978816</v>
      </c>
      <c r="F114">
        <v>31852.14</v>
      </c>
      <c r="G114">
        <v>2850.68</v>
      </c>
    </row>
    <row r="115" spans="1:7" x14ac:dyDescent="0.3">
      <c r="A115" t="s">
        <v>30</v>
      </c>
      <c r="B115" t="s">
        <v>45</v>
      </c>
      <c r="C115" t="s">
        <v>50</v>
      </c>
      <c r="D115">
        <v>164</v>
      </c>
      <c r="E115">
        <v>85.775971274510965</v>
      </c>
      <c r="F115">
        <v>14067.26</v>
      </c>
      <c r="G115">
        <v>2725.24</v>
      </c>
    </row>
    <row r="116" spans="1:7" x14ac:dyDescent="0.3">
      <c r="A116" t="s">
        <v>30</v>
      </c>
      <c r="B116" t="s">
        <v>45</v>
      </c>
      <c r="C116" t="s">
        <v>51</v>
      </c>
      <c r="D116">
        <v>294</v>
      </c>
      <c r="E116">
        <v>93.404569934070864</v>
      </c>
      <c r="F116">
        <v>27460.94</v>
      </c>
      <c r="G116">
        <v>3969.85</v>
      </c>
    </row>
    <row r="117" spans="1:7" x14ac:dyDescent="0.3">
      <c r="A117" t="s">
        <v>30</v>
      </c>
      <c r="B117" t="s">
        <v>45</v>
      </c>
      <c r="C117" t="s">
        <v>52</v>
      </c>
      <c r="D117">
        <v>77</v>
      </c>
      <c r="E117">
        <v>183.89060824903129</v>
      </c>
      <c r="F117">
        <v>14159.58</v>
      </c>
      <c r="G117">
        <v>2028.02</v>
      </c>
    </row>
    <row r="118" spans="1:7" x14ac:dyDescent="0.3">
      <c r="A118" t="s">
        <v>30</v>
      </c>
      <c r="B118" t="s">
        <v>46</v>
      </c>
      <c r="C118" t="s">
        <v>49</v>
      </c>
      <c r="D118">
        <v>258</v>
      </c>
      <c r="E118">
        <v>57.546150651273109</v>
      </c>
      <c r="F118">
        <v>14846.91</v>
      </c>
      <c r="G118">
        <v>2157.39</v>
      </c>
    </row>
    <row r="119" spans="1:7" x14ac:dyDescent="0.3">
      <c r="A119" t="s">
        <v>30</v>
      </c>
      <c r="B119" t="s">
        <v>46</v>
      </c>
      <c r="C119" t="s">
        <v>50</v>
      </c>
      <c r="D119">
        <v>256</v>
      </c>
      <c r="E119">
        <v>63.187440419729143</v>
      </c>
      <c r="F119">
        <v>16175.98</v>
      </c>
      <c r="G119">
        <v>2880.94</v>
      </c>
    </row>
    <row r="120" spans="1:7" x14ac:dyDescent="0.3">
      <c r="A120" t="s">
        <v>30</v>
      </c>
      <c r="B120" t="s">
        <v>46</v>
      </c>
      <c r="C120" t="s">
        <v>51</v>
      </c>
      <c r="D120">
        <v>291</v>
      </c>
      <c r="E120">
        <v>108.1722889110477</v>
      </c>
      <c r="F120">
        <v>31478.14</v>
      </c>
      <c r="G120">
        <v>3911.09</v>
      </c>
    </row>
    <row r="121" spans="1:7" x14ac:dyDescent="0.3">
      <c r="A121" t="s">
        <v>30</v>
      </c>
      <c r="B121" t="s">
        <v>46</v>
      </c>
      <c r="C121" t="s">
        <v>52</v>
      </c>
      <c r="D121">
        <v>368</v>
      </c>
      <c r="E121">
        <v>89.72401186128009</v>
      </c>
      <c r="F121">
        <v>33018.44</v>
      </c>
      <c r="G121">
        <v>4241.96</v>
      </c>
    </row>
    <row r="122" spans="1:7" x14ac:dyDescent="0.3">
      <c r="A122" t="s">
        <v>30</v>
      </c>
      <c r="B122" t="s">
        <v>47</v>
      </c>
      <c r="C122" t="s">
        <v>49</v>
      </c>
      <c r="D122">
        <v>95</v>
      </c>
      <c r="E122">
        <v>117.5470699938745</v>
      </c>
      <c r="F122">
        <v>11166.97</v>
      </c>
      <c r="G122">
        <v>1411.5</v>
      </c>
    </row>
    <row r="123" spans="1:7" x14ac:dyDescent="0.3">
      <c r="A123" t="s">
        <v>30</v>
      </c>
      <c r="B123" t="s">
        <v>47</v>
      </c>
      <c r="C123" t="s">
        <v>50</v>
      </c>
      <c r="D123">
        <v>66</v>
      </c>
      <c r="E123">
        <v>17.73847244060433</v>
      </c>
      <c r="F123">
        <v>1170.74</v>
      </c>
      <c r="G123">
        <v>227.98</v>
      </c>
    </row>
    <row r="124" spans="1:7" x14ac:dyDescent="0.3">
      <c r="A124" t="s">
        <v>30</v>
      </c>
      <c r="B124" t="s">
        <v>47</v>
      </c>
      <c r="C124" t="s">
        <v>51</v>
      </c>
      <c r="D124">
        <v>257</v>
      </c>
      <c r="E124">
        <v>196.1070004380866</v>
      </c>
      <c r="F124">
        <v>50399.5</v>
      </c>
      <c r="G124">
        <v>9272.59</v>
      </c>
    </row>
    <row r="125" spans="1:7" x14ac:dyDescent="0.3">
      <c r="A125" t="s">
        <v>30</v>
      </c>
      <c r="B125" t="s">
        <v>47</v>
      </c>
      <c r="C125" t="s">
        <v>52</v>
      </c>
      <c r="D125">
        <v>119</v>
      </c>
      <c r="E125">
        <v>42.908355282902882</v>
      </c>
      <c r="F125">
        <v>5106.09</v>
      </c>
      <c r="G125">
        <v>673.99</v>
      </c>
    </row>
    <row r="126" spans="1:7" x14ac:dyDescent="0.3">
      <c r="A126" t="s">
        <v>30</v>
      </c>
      <c r="B126" t="s">
        <v>48</v>
      </c>
      <c r="C126" t="s">
        <v>49</v>
      </c>
      <c r="D126">
        <v>241</v>
      </c>
      <c r="E126">
        <v>133.45699970212499</v>
      </c>
      <c r="F126">
        <v>32163.14</v>
      </c>
      <c r="G126">
        <v>3490.09</v>
      </c>
    </row>
    <row r="127" spans="1:7" x14ac:dyDescent="0.3">
      <c r="A127" t="s">
        <v>30</v>
      </c>
      <c r="B127" t="s">
        <v>48</v>
      </c>
      <c r="C127" t="s">
        <v>50</v>
      </c>
      <c r="D127">
        <v>413</v>
      </c>
      <c r="E127">
        <v>128.91338398570491</v>
      </c>
      <c r="F127">
        <v>53241.23</v>
      </c>
      <c r="G127">
        <v>9875.83</v>
      </c>
    </row>
    <row r="128" spans="1:7" x14ac:dyDescent="0.3">
      <c r="A128" t="s">
        <v>30</v>
      </c>
      <c r="B128" t="s">
        <v>48</v>
      </c>
      <c r="C128" t="s">
        <v>51</v>
      </c>
      <c r="D128">
        <v>461</v>
      </c>
      <c r="E128">
        <v>105.1975779438992</v>
      </c>
      <c r="F128">
        <v>48496.08</v>
      </c>
      <c r="G128">
        <v>8907.32</v>
      </c>
    </row>
    <row r="129" spans="1:7" x14ac:dyDescent="0.3">
      <c r="A129" t="s">
        <v>30</v>
      </c>
      <c r="B129" t="s">
        <v>48</v>
      </c>
      <c r="C129" t="s">
        <v>52</v>
      </c>
      <c r="D129">
        <v>35</v>
      </c>
      <c r="E129">
        <v>23.408062006081671</v>
      </c>
      <c r="F129">
        <v>819.28</v>
      </c>
      <c r="G129">
        <v>84.61</v>
      </c>
    </row>
    <row r="130" spans="1:7" x14ac:dyDescent="0.3">
      <c r="A130" t="s">
        <v>31</v>
      </c>
      <c r="B130" t="s">
        <v>45</v>
      </c>
      <c r="C130" t="s">
        <v>49</v>
      </c>
      <c r="D130">
        <v>266</v>
      </c>
      <c r="E130">
        <v>189.40780345378181</v>
      </c>
      <c r="F130">
        <v>50382.48</v>
      </c>
      <c r="G130">
        <v>6896.42</v>
      </c>
    </row>
    <row r="131" spans="1:7" x14ac:dyDescent="0.3">
      <c r="A131" t="s">
        <v>31</v>
      </c>
      <c r="B131" t="s">
        <v>45</v>
      </c>
      <c r="C131" t="s">
        <v>50</v>
      </c>
      <c r="D131">
        <v>359</v>
      </c>
      <c r="E131">
        <v>119.34009379641699</v>
      </c>
      <c r="F131">
        <v>42843.09</v>
      </c>
      <c r="G131">
        <v>8933.84</v>
      </c>
    </row>
    <row r="132" spans="1:7" x14ac:dyDescent="0.3">
      <c r="A132" t="s">
        <v>31</v>
      </c>
      <c r="B132" t="s">
        <v>45</v>
      </c>
      <c r="C132" t="s">
        <v>51</v>
      </c>
      <c r="D132">
        <v>197</v>
      </c>
      <c r="E132">
        <v>118.9397379176673</v>
      </c>
      <c r="F132">
        <v>23431.13</v>
      </c>
      <c r="G132">
        <v>3855.35</v>
      </c>
    </row>
    <row r="133" spans="1:7" x14ac:dyDescent="0.3">
      <c r="A133" t="s">
        <v>31</v>
      </c>
      <c r="B133" t="s">
        <v>45</v>
      </c>
      <c r="C133" t="s">
        <v>52</v>
      </c>
      <c r="D133">
        <v>446</v>
      </c>
      <c r="E133">
        <v>188.8783136675398</v>
      </c>
      <c r="F133">
        <v>84239.73</v>
      </c>
      <c r="G133">
        <v>8809.85</v>
      </c>
    </row>
    <row r="134" spans="1:7" x14ac:dyDescent="0.3">
      <c r="A134" t="s">
        <v>31</v>
      </c>
      <c r="B134" t="s">
        <v>46</v>
      </c>
      <c r="C134" t="s">
        <v>49</v>
      </c>
      <c r="D134">
        <v>342</v>
      </c>
      <c r="E134">
        <v>165.88110031654091</v>
      </c>
      <c r="F134">
        <v>56731.34</v>
      </c>
      <c r="G134">
        <v>4941.3599999999997</v>
      </c>
    </row>
    <row r="135" spans="1:7" x14ac:dyDescent="0.3">
      <c r="A135" t="s">
        <v>31</v>
      </c>
      <c r="B135" t="s">
        <v>46</v>
      </c>
      <c r="C135" t="s">
        <v>50</v>
      </c>
      <c r="D135">
        <v>304</v>
      </c>
      <c r="E135">
        <v>23.17864716628144</v>
      </c>
      <c r="F135">
        <v>7046.31</v>
      </c>
      <c r="G135">
        <v>1281.2</v>
      </c>
    </row>
    <row r="136" spans="1:7" x14ac:dyDescent="0.3">
      <c r="A136" t="s">
        <v>31</v>
      </c>
      <c r="B136" t="s">
        <v>46</v>
      </c>
      <c r="C136" t="s">
        <v>51</v>
      </c>
      <c r="D136">
        <v>114</v>
      </c>
      <c r="E136">
        <v>81.679225813315412</v>
      </c>
      <c r="F136">
        <v>9311.43</v>
      </c>
      <c r="G136">
        <v>1324.14</v>
      </c>
    </row>
    <row r="137" spans="1:7" x14ac:dyDescent="0.3">
      <c r="A137" t="s">
        <v>31</v>
      </c>
      <c r="B137" t="s">
        <v>46</v>
      </c>
      <c r="C137" t="s">
        <v>52</v>
      </c>
      <c r="D137">
        <v>234</v>
      </c>
      <c r="E137">
        <v>23.525843207443511</v>
      </c>
      <c r="F137">
        <v>5505.05</v>
      </c>
      <c r="G137">
        <v>448.11</v>
      </c>
    </row>
    <row r="138" spans="1:7" x14ac:dyDescent="0.3">
      <c r="A138" t="s">
        <v>31</v>
      </c>
      <c r="B138" t="s">
        <v>47</v>
      </c>
      <c r="C138" t="s">
        <v>49</v>
      </c>
      <c r="D138">
        <v>283</v>
      </c>
      <c r="E138">
        <v>83.225357983457357</v>
      </c>
      <c r="F138">
        <v>23552.78</v>
      </c>
      <c r="G138">
        <v>2767.47</v>
      </c>
    </row>
    <row r="139" spans="1:7" x14ac:dyDescent="0.3">
      <c r="A139" t="s">
        <v>31</v>
      </c>
      <c r="B139" t="s">
        <v>47</v>
      </c>
      <c r="C139" t="s">
        <v>50</v>
      </c>
      <c r="D139">
        <v>134</v>
      </c>
      <c r="E139">
        <v>63.552407206945993</v>
      </c>
      <c r="F139">
        <v>8516.02</v>
      </c>
      <c r="G139">
        <v>1921.54</v>
      </c>
    </row>
    <row r="140" spans="1:7" x14ac:dyDescent="0.3">
      <c r="A140" t="s">
        <v>31</v>
      </c>
      <c r="B140" t="s">
        <v>47</v>
      </c>
      <c r="C140" t="s">
        <v>51</v>
      </c>
      <c r="D140">
        <v>215</v>
      </c>
      <c r="E140">
        <v>141.6491681514685</v>
      </c>
      <c r="F140">
        <v>30454.57</v>
      </c>
      <c r="G140">
        <v>5499.75</v>
      </c>
    </row>
    <row r="141" spans="1:7" x14ac:dyDescent="0.3">
      <c r="A141" t="s">
        <v>31</v>
      </c>
      <c r="B141" t="s">
        <v>47</v>
      </c>
      <c r="C141" t="s">
        <v>52</v>
      </c>
      <c r="D141">
        <v>395</v>
      </c>
      <c r="E141">
        <v>149.66349832273829</v>
      </c>
      <c r="F141">
        <v>59117.08</v>
      </c>
      <c r="G141">
        <v>6876.63</v>
      </c>
    </row>
    <row r="142" spans="1:7" x14ac:dyDescent="0.3">
      <c r="A142" t="s">
        <v>31</v>
      </c>
      <c r="B142" t="s">
        <v>48</v>
      </c>
      <c r="C142" t="s">
        <v>49</v>
      </c>
      <c r="D142">
        <v>296</v>
      </c>
      <c r="E142">
        <v>193.84030478884699</v>
      </c>
      <c r="F142">
        <v>57376.73</v>
      </c>
      <c r="G142">
        <v>4054.51</v>
      </c>
    </row>
    <row r="143" spans="1:7" x14ac:dyDescent="0.3">
      <c r="A143" t="s">
        <v>31</v>
      </c>
      <c r="B143" t="s">
        <v>48</v>
      </c>
      <c r="C143" t="s">
        <v>50</v>
      </c>
      <c r="D143">
        <v>427</v>
      </c>
      <c r="E143">
        <v>163.29860046078019</v>
      </c>
      <c r="F143">
        <v>69728.5</v>
      </c>
      <c r="G143">
        <v>14140.34</v>
      </c>
    </row>
    <row r="144" spans="1:7" x14ac:dyDescent="0.3">
      <c r="A144" t="s">
        <v>31</v>
      </c>
      <c r="B144" t="s">
        <v>48</v>
      </c>
      <c r="C144" t="s">
        <v>51</v>
      </c>
      <c r="D144">
        <v>196</v>
      </c>
      <c r="E144">
        <v>149.01307350693159</v>
      </c>
      <c r="F144">
        <v>29206.560000000001</v>
      </c>
      <c r="G144">
        <v>4020.13</v>
      </c>
    </row>
    <row r="145" spans="1:7" x14ac:dyDescent="0.3">
      <c r="A145" t="s">
        <v>31</v>
      </c>
      <c r="B145" t="s">
        <v>48</v>
      </c>
      <c r="C145" t="s">
        <v>52</v>
      </c>
      <c r="D145">
        <v>115</v>
      </c>
      <c r="E145">
        <v>74.752672648073386</v>
      </c>
      <c r="F145">
        <v>8596.56</v>
      </c>
      <c r="G145">
        <v>722.5</v>
      </c>
    </row>
    <row r="146" spans="1:7" x14ac:dyDescent="0.3">
      <c r="A146" t="s">
        <v>32</v>
      </c>
      <c r="B146" t="s">
        <v>45</v>
      </c>
      <c r="C146" t="s">
        <v>49</v>
      </c>
      <c r="D146">
        <v>209</v>
      </c>
      <c r="E146">
        <v>116.754671507317</v>
      </c>
      <c r="F146">
        <v>24401.73</v>
      </c>
      <c r="G146">
        <v>3545.32</v>
      </c>
    </row>
    <row r="147" spans="1:7" x14ac:dyDescent="0.3">
      <c r="A147" t="s">
        <v>32</v>
      </c>
      <c r="B147" t="s">
        <v>45</v>
      </c>
      <c r="C147" t="s">
        <v>50</v>
      </c>
      <c r="D147">
        <v>298</v>
      </c>
      <c r="E147">
        <v>153.36314607608961</v>
      </c>
      <c r="F147">
        <v>45702.22</v>
      </c>
      <c r="G147">
        <v>7667.77</v>
      </c>
    </row>
    <row r="148" spans="1:7" x14ac:dyDescent="0.3">
      <c r="A148" t="s">
        <v>32</v>
      </c>
      <c r="B148" t="s">
        <v>45</v>
      </c>
      <c r="C148" t="s">
        <v>51</v>
      </c>
      <c r="D148">
        <v>380</v>
      </c>
      <c r="E148">
        <v>81.768488373496027</v>
      </c>
      <c r="F148">
        <v>31072.03</v>
      </c>
      <c r="G148">
        <v>4768.95</v>
      </c>
    </row>
    <row r="149" spans="1:7" x14ac:dyDescent="0.3">
      <c r="A149" t="s">
        <v>32</v>
      </c>
      <c r="B149" t="s">
        <v>45</v>
      </c>
      <c r="C149" t="s">
        <v>52</v>
      </c>
      <c r="D149">
        <v>236</v>
      </c>
      <c r="E149">
        <v>70.809424195816234</v>
      </c>
      <c r="F149">
        <v>16711.02</v>
      </c>
      <c r="G149">
        <v>2925.76</v>
      </c>
    </row>
    <row r="150" spans="1:7" x14ac:dyDescent="0.3">
      <c r="A150" t="s">
        <v>32</v>
      </c>
      <c r="B150" t="s">
        <v>46</v>
      </c>
      <c r="C150" t="s">
        <v>49</v>
      </c>
      <c r="D150">
        <v>206</v>
      </c>
      <c r="E150">
        <v>28.997128560754039</v>
      </c>
      <c r="F150">
        <v>5973.41</v>
      </c>
      <c r="G150">
        <v>607.94000000000005</v>
      </c>
    </row>
    <row r="151" spans="1:7" x14ac:dyDescent="0.3">
      <c r="A151" t="s">
        <v>32</v>
      </c>
      <c r="B151" t="s">
        <v>46</v>
      </c>
      <c r="C151" t="s">
        <v>50</v>
      </c>
      <c r="D151">
        <v>303</v>
      </c>
      <c r="E151">
        <v>190.51177373965291</v>
      </c>
      <c r="F151">
        <v>57725.07</v>
      </c>
      <c r="G151">
        <v>10949.32</v>
      </c>
    </row>
    <row r="152" spans="1:7" x14ac:dyDescent="0.3">
      <c r="A152" t="s">
        <v>32</v>
      </c>
      <c r="B152" t="s">
        <v>46</v>
      </c>
      <c r="C152" t="s">
        <v>51</v>
      </c>
      <c r="D152">
        <v>403</v>
      </c>
      <c r="E152">
        <v>101.67898043210209</v>
      </c>
      <c r="F152">
        <v>40976.629999999997</v>
      </c>
      <c r="G152">
        <v>5037.45</v>
      </c>
    </row>
    <row r="153" spans="1:7" x14ac:dyDescent="0.3">
      <c r="A153" t="s">
        <v>32</v>
      </c>
      <c r="B153" t="s">
        <v>46</v>
      </c>
      <c r="C153" t="s">
        <v>52</v>
      </c>
      <c r="D153">
        <v>88</v>
      </c>
      <c r="E153">
        <v>65.710046622632262</v>
      </c>
      <c r="F153">
        <v>5782.48</v>
      </c>
      <c r="G153">
        <v>518.77</v>
      </c>
    </row>
    <row r="154" spans="1:7" x14ac:dyDescent="0.3">
      <c r="A154" t="s">
        <v>32</v>
      </c>
      <c r="B154" t="s">
        <v>47</v>
      </c>
      <c r="C154" t="s">
        <v>49</v>
      </c>
      <c r="D154">
        <v>44</v>
      </c>
      <c r="E154">
        <v>115.2035799457021</v>
      </c>
      <c r="F154">
        <v>5068.96</v>
      </c>
      <c r="G154">
        <v>674.92</v>
      </c>
    </row>
    <row r="155" spans="1:7" x14ac:dyDescent="0.3">
      <c r="A155" t="s">
        <v>32</v>
      </c>
      <c r="B155" t="s">
        <v>47</v>
      </c>
      <c r="C155" t="s">
        <v>50</v>
      </c>
      <c r="D155">
        <v>200</v>
      </c>
      <c r="E155">
        <v>103.9398578934905</v>
      </c>
      <c r="F155">
        <v>20787.97</v>
      </c>
      <c r="G155">
        <v>4261.25</v>
      </c>
    </row>
    <row r="156" spans="1:7" x14ac:dyDescent="0.3">
      <c r="A156" t="s">
        <v>32</v>
      </c>
      <c r="B156" t="s">
        <v>47</v>
      </c>
      <c r="C156" t="s">
        <v>51</v>
      </c>
      <c r="D156">
        <v>442</v>
      </c>
      <c r="E156">
        <v>199.22693598576251</v>
      </c>
      <c r="F156">
        <v>88058.31</v>
      </c>
      <c r="G156">
        <v>18164.080000000002</v>
      </c>
    </row>
    <row r="157" spans="1:7" x14ac:dyDescent="0.3">
      <c r="A157" t="s">
        <v>32</v>
      </c>
      <c r="B157" t="s">
        <v>47</v>
      </c>
      <c r="C157" t="s">
        <v>52</v>
      </c>
      <c r="D157">
        <v>258</v>
      </c>
      <c r="E157">
        <v>37.168419590038809</v>
      </c>
      <c r="F157">
        <v>9589.4500000000007</v>
      </c>
      <c r="G157">
        <v>1228.33</v>
      </c>
    </row>
    <row r="158" spans="1:7" x14ac:dyDescent="0.3">
      <c r="A158" t="s">
        <v>32</v>
      </c>
      <c r="B158" t="s">
        <v>48</v>
      </c>
      <c r="C158" t="s">
        <v>49</v>
      </c>
      <c r="D158">
        <v>93</v>
      </c>
      <c r="E158">
        <v>169.023136105101</v>
      </c>
      <c r="F158">
        <v>15719.15</v>
      </c>
      <c r="G158">
        <v>1825.17</v>
      </c>
    </row>
    <row r="159" spans="1:7" x14ac:dyDescent="0.3">
      <c r="A159" t="s">
        <v>32</v>
      </c>
      <c r="B159" t="s">
        <v>48</v>
      </c>
      <c r="C159" t="s">
        <v>50</v>
      </c>
      <c r="D159">
        <v>193</v>
      </c>
      <c r="E159">
        <v>143.18413497723279</v>
      </c>
      <c r="F159">
        <v>27634.54</v>
      </c>
      <c r="G159">
        <v>4869.33</v>
      </c>
    </row>
    <row r="160" spans="1:7" x14ac:dyDescent="0.3">
      <c r="A160" t="s">
        <v>32</v>
      </c>
      <c r="B160" t="s">
        <v>48</v>
      </c>
      <c r="C160" t="s">
        <v>51</v>
      </c>
      <c r="D160">
        <v>189</v>
      </c>
      <c r="E160">
        <v>85.36380437130785</v>
      </c>
      <c r="F160">
        <v>16133.76</v>
      </c>
      <c r="G160">
        <v>1829.03</v>
      </c>
    </row>
    <row r="161" spans="1:7" x14ac:dyDescent="0.3">
      <c r="A161" t="s">
        <v>32</v>
      </c>
      <c r="B161" t="s">
        <v>48</v>
      </c>
      <c r="C161" t="s">
        <v>52</v>
      </c>
      <c r="D161">
        <v>155</v>
      </c>
      <c r="E161">
        <v>81.111451193662859</v>
      </c>
      <c r="F161">
        <v>12572.27</v>
      </c>
      <c r="G161">
        <v>1214.23</v>
      </c>
    </row>
    <row r="162" spans="1:7" x14ac:dyDescent="0.3">
      <c r="A162" t="s">
        <v>33</v>
      </c>
      <c r="B162" t="s">
        <v>45</v>
      </c>
      <c r="C162" t="s">
        <v>49</v>
      </c>
      <c r="D162">
        <v>340</v>
      </c>
      <c r="E162">
        <v>177.26839404129919</v>
      </c>
      <c r="F162">
        <v>60271.25</v>
      </c>
      <c r="G162">
        <v>8184.69</v>
      </c>
    </row>
    <row r="163" spans="1:7" x14ac:dyDescent="0.3">
      <c r="A163" t="s">
        <v>33</v>
      </c>
      <c r="B163" t="s">
        <v>45</v>
      </c>
      <c r="C163" t="s">
        <v>50</v>
      </c>
      <c r="D163">
        <v>320</v>
      </c>
      <c r="E163">
        <v>153.14185519919889</v>
      </c>
      <c r="F163">
        <v>49005.39</v>
      </c>
      <c r="G163">
        <v>9127.52</v>
      </c>
    </row>
    <row r="164" spans="1:7" x14ac:dyDescent="0.3">
      <c r="A164" t="s">
        <v>33</v>
      </c>
      <c r="B164" t="s">
        <v>45</v>
      </c>
      <c r="C164" t="s">
        <v>51</v>
      </c>
      <c r="D164">
        <v>89</v>
      </c>
      <c r="E164">
        <v>144.55442716080799</v>
      </c>
      <c r="F164">
        <v>12865.34</v>
      </c>
      <c r="G164">
        <v>1456.46</v>
      </c>
    </row>
    <row r="165" spans="1:7" x14ac:dyDescent="0.3">
      <c r="A165" t="s">
        <v>33</v>
      </c>
      <c r="B165" t="s">
        <v>45</v>
      </c>
      <c r="C165" t="s">
        <v>52</v>
      </c>
      <c r="D165">
        <v>186</v>
      </c>
      <c r="E165">
        <v>90.602181756925489</v>
      </c>
      <c r="F165">
        <v>16852.009999999998</v>
      </c>
      <c r="G165">
        <v>1735.24</v>
      </c>
    </row>
    <row r="166" spans="1:7" x14ac:dyDescent="0.3">
      <c r="A166" t="s">
        <v>33</v>
      </c>
      <c r="B166" t="s">
        <v>46</v>
      </c>
      <c r="C166" t="s">
        <v>49</v>
      </c>
      <c r="D166">
        <v>365</v>
      </c>
      <c r="E166">
        <v>72.747980513628718</v>
      </c>
      <c r="F166">
        <v>26553.01</v>
      </c>
      <c r="G166">
        <v>2078.3200000000002</v>
      </c>
    </row>
    <row r="167" spans="1:7" x14ac:dyDescent="0.3">
      <c r="A167" t="s">
        <v>33</v>
      </c>
      <c r="B167" t="s">
        <v>46</v>
      </c>
      <c r="C167" t="s">
        <v>50</v>
      </c>
      <c r="D167">
        <v>261</v>
      </c>
      <c r="E167">
        <v>99.045521978883997</v>
      </c>
      <c r="F167">
        <v>25850.880000000001</v>
      </c>
      <c r="G167">
        <v>4176.38</v>
      </c>
    </row>
    <row r="168" spans="1:7" x14ac:dyDescent="0.3">
      <c r="A168" t="s">
        <v>33</v>
      </c>
      <c r="B168" t="s">
        <v>46</v>
      </c>
      <c r="C168" t="s">
        <v>51</v>
      </c>
      <c r="D168">
        <v>77</v>
      </c>
      <c r="E168">
        <v>150.78503357302699</v>
      </c>
      <c r="F168">
        <v>11610.45</v>
      </c>
      <c r="G168">
        <v>1775.83</v>
      </c>
    </row>
    <row r="169" spans="1:7" x14ac:dyDescent="0.3">
      <c r="A169" t="s">
        <v>33</v>
      </c>
      <c r="B169" t="s">
        <v>46</v>
      </c>
      <c r="C169" t="s">
        <v>52</v>
      </c>
      <c r="D169">
        <v>442</v>
      </c>
      <c r="E169">
        <v>151.7485270604304</v>
      </c>
      <c r="F169">
        <v>67072.850000000006</v>
      </c>
      <c r="G169">
        <v>6755.61</v>
      </c>
    </row>
    <row r="170" spans="1:7" x14ac:dyDescent="0.3">
      <c r="A170" t="s">
        <v>33</v>
      </c>
      <c r="B170" t="s">
        <v>47</v>
      </c>
      <c r="C170" t="s">
        <v>49</v>
      </c>
      <c r="D170">
        <v>480</v>
      </c>
      <c r="E170">
        <v>55.126229545569288</v>
      </c>
      <c r="F170">
        <v>26460.59</v>
      </c>
      <c r="G170">
        <v>3413.81</v>
      </c>
    </row>
    <row r="171" spans="1:7" x14ac:dyDescent="0.3">
      <c r="A171" t="s">
        <v>33</v>
      </c>
      <c r="B171" t="s">
        <v>47</v>
      </c>
      <c r="C171" t="s">
        <v>50</v>
      </c>
      <c r="D171">
        <v>428</v>
      </c>
      <c r="E171">
        <v>175.03383435599741</v>
      </c>
      <c r="F171">
        <v>74914.48</v>
      </c>
      <c r="G171">
        <v>11298.31</v>
      </c>
    </row>
    <row r="172" spans="1:7" x14ac:dyDescent="0.3">
      <c r="A172" t="s">
        <v>33</v>
      </c>
      <c r="B172" t="s">
        <v>47</v>
      </c>
      <c r="C172" t="s">
        <v>51</v>
      </c>
      <c r="D172">
        <v>441</v>
      </c>
      <c r="E172">
        <v>92.903808005245637</v>
      </c>
      <c r="F172">
        <v>40970.58</v>
      </c>
      <c r="G172">
        <v>5410.78</v>
      </c>
    </row>
    <row r="173" spans="1:7" x14ac:dyDescent="0.3">
      <c r="A173" t="s">
        <v>33</v>
      </c>
      <c r="B173" t="s">
        <v>47</v>
      </c>
      <c r="C173" t="s">
        <v>52</v>
      </c>
      <c r="D173">
        <v>99</v>
      </c>
      <c r="E173">
        <v>110.26321072639701</v>
      </c>
      <c r="F173">
        <v>10916.06</v>
      </c>
      <c r="G173">
        <v>1440.72</v>
      </c>
    </row>
    <row r="174" spans="1:7" x14ac:dyDescent="0.3">
      <c r="A174" t="s">
        <v>33</v>
      </c>
      <c r="B174" t="s">
        <v>48</v>
      </c>
      <c r="C174" t="s">
        <v>49</v>
      </c>
      <c r="D174">
        <v>222</v>
      </c>
      <c r="E174">
        <v>184.6319859029453</v>
      </c>
      <c r="F174">
        <v>40988.300000000003</v>
      </c>
      <c r="G174">
        <v>5405.19</v>
      </c>
    </row>
    <row r="175" spans="1:7" x14ac:dyDescent="0.3">
      <c r="A175" t="s">
        <v>33</v>
      </c>
      <c r="B175" t="s">
        <v>48</v>
      </c>
      <c r="C175" t="s">
        <v>50</v>
      </c>
      <c r="D175">
        <v>460</v>
      </c>
      <c r="E175">
        <v>109.3885903923283</v>
      </c>
      <c r="F175">
        <v>50318.75</v>
      </c>
      <c r="G175">
        <v>7732.66</v>
      </c>
    </row>
    <row r="176" spans="1:7" x14ac:dyDescent="0.3">
      <c r="A176" t="s">
        <v>33</v>
      </c>
      <c r="B176" t="s">
        <v>48</v>
      </c>
      <c r="C176" t="s">
        <v>51</v>
      </c>
      <c r="D176">
        <v>252</v>
      </c>
      <c r="E176">
        <v>51.19373025143333</v>
      </c>
      <c r="F176">
        <v>12900.82</v>
      </c>
      <c r="G176">
        <v>1639.12</v>
      </c>
    </row>
    <row r="177" spans="1:7" x14ac:dyDescent="0.3">
      <c r="A177" t="s">
        <v>33</v>
      </c>
      <c r="B177" t="s">
        <v>48</v>
      </c>
      <c r="C177" t="s">
        <v>52</v>
      </c>
      <c r="D177">
        <v>490</v>
      </c>
      <c r="E177">
        <v>18.634812264876999</v>
      </c>
      <c r="F177">
        <v>9131.06</v>
      </c>
      <c r="G177">
        <v>1146.0999999999999</v>
      </c>
    </row>
    <row r="178" spans="1:7" x14ac:dyDescent="0.3">
      <c r="A178" t="s">
        <v>34</v>
      </c>
      <c r="B178" t="s">
        <v>45</v>
      </c>
      <c r="C178" t="s">
        <v>49</v>
      </c>
      <c r="D178">
        <v>31</v>
      </c>
      <c r="E178">
        <v>192.15345740749081</v>
      </c>
      <c r="F178">
        <v>5956.76</v>
      </c>
      <c r="G178">
        <v>757.31</v>
      </c>
    </row>
    <row r="179" spans="1:7" x14ac:dyDescent="0.3">
      <c r="A179" t="s">
        <v>34</v>
      </c>
      <c r="B179" t="s">
        <v>45</v>
      </c>
      <c r="C179" t="s">
        <v>50</v>
      </c>
      <c r="D179">
        <v>427</v>
      </c>
      <c r="E179">
        <v>127.825193582292</v>
      </c>
      <c r="F179">
        <v>54581.36</v>
      </c>
      <c r="G179">
        <v>9714.82</v>
      </c>
    </row>
    <row r="180" spans="1:7" x14ac:dyDescent="0.3">
      <c r="A180" t="s">
        <v>34</v>
      </c>
      <c r="B180" t="s">
        <v>45</v>
      </c>
      <c r="C180" t="s">
        <v>51</v>
      </c>
      <c r="D180">
        <v>27</v>
      </c>
      <c r="E180">
        <v>42.239181740157449</v>
      </c>
      <c r="F180">
        <v>1140.46</v>
      </c>
      <c r="G180">
        <v>154.88999999999999</v>
      </c>
    </row>
    <row r="181" spans="1:7" x14ac:dyDescent="0.3">
      <c r="A181" t="s">
        <v>34</v>
      </c>
      <c r="B181" t="s">
        <v>45</v>
      </c>
      <c r="C181" t="s">
        <v>52</v>
      </c>
      <c r="D181">
        <v>335</v>
      </c>
      <c r="E181">
        <v>120.8946612516657</v>
      </c>
      <c r="F181">
        <v>40499.71</v>
      </c>
      <c r="G181">
        <v>5742.17</v>
      </c>
    </row>
    <row r="182" spans="1:7" x14ac:dyDescent="0.3">
      <c r="A182" t="s">
        <v>34</v>
      </c>
      <c r="B182" t="s">
        <v>46</v>
      </c>
      <c r="C182" t="s">
        <v>49</v>
      </c>
      <c r="D182">
        <v>239</v>
      </c>
      <c r="E182">
        <v>78.465568089000968</v>
      </c>
      <c r="F182">
        <v>18753.27</v>
      </c>
      <c r="G182">
        <v>1941.57</v>
      </c>
    </row>
    <row r="183" spans="1:7" x14ac:dyDescent="0.3">
      <c r="A183" t="s">
        <v>34</v>
      </c>
      <c r="B183" t="s">
        <v>46</v>
      </c>
      <c r="C183" t="s">
        <v>50</v>
      </c>
      <c r="D183">
        <v>466</v>
      </c>
      <c r="E183">
        <v>111.8583096053829</v>
      </c>
      <c r="F183">
        <v>52125.97</v>
      </c>
      <c r="G183">
        <v>7130.71</v>
      </c>
    </row>
    <row r="184" spans="1:7" x14ac:dyDescent="0.3">
      <c r="A184" t="s">
        <v>34</v>
      </c>
      <c r="B184" t="s">
        <v>46</v>
      </c>
      <c r="C184" t="s">
        <v>51</v>
      </c>
      <c r="D184">
        <v>436</v>
      </c>
      <c r="E184">
        <v>88.129276965715391</v>
      </c>
      <c r="F184">
        <v>38424.36</v>
      </c>
      <c r="G184">
        <v>4215.4799999999996</v>
      </c>
    </row>
    <row r="185" spans="1:7" x14ac:dyDescent="0.3">
      <c r="A185" t="s">
        <v>34</v>
      </c>
      <c r="B185" t="s">
        <v>46</v>
      </c>
      <c r="C185" t="s">
        <v>52</v>
      </c>
      <c r="D185">
        <v>416</v>
      </c>
      <c r="E185">
        <v>183.0761650538301</v>
      </c>
      <c r="F185">
        <v>76159.679999999993</v>
      </c>
      <c r="G185">
        <v>7889.62</v>
      </c>
    </row>
    <row r="186" spans="1:7" x14ac:dyDescent="0.3">
      <c r="A186" t="s">
        <v>34</v>
      </c>
      <c r="B186" t="s">
        <v>47</v>
      </c>
      <c r="C186" t="s">
        <v>49</v>
      </c>
      <c r="D186">
        <v>272</v>
      </c>
      <c r="E186">
        <v>188.70104715572279</v>
      </c>
      <c r="F186">
        <v>51326.68</v>
      </c>
      <c r="G186">
        <v>8915.1200000000008</v>
      </c>
    </row>
    <row r="187" spans="1:7" x14ac:dyDescent="0.3">
      <c r="A187" t="s">
        <v>34</v>
      </c>
      <c r="B187" t="s">
        <v>47</v>
      </c>
      <c r="C187" t="s">
        <v>50</v>
      </c>
      <c r="D187">
        <v>428</v>
      </c>
      <c r="E187">
        <v>89.466176895217586</v>
      </c>
      <c r="F187">
        <v>38291.519999999997</v>
      </c>
      <c r="G187">
        <v>6333.18</v>
      </c>
    </row>
    <row r="188" spans="1:7" x14ac:dyDescent="0.3">
      <c r="A188" t="s">
        <v>34</v>
      </c>
      <c r="B188" t="s">
        <v>47</v>
      </c>
      <c r="C188" t="s">
        <v>51</v>
      </c>
      <c r="D188">
        <v>331</v>
      </c>
      <c r="E188">
        <v>176.56568232590061</v>
      </c>
      <c r="F188">
        <v>58443.24</v>
      </c>
      <c r="G188">
        <v>8495.6200000000008</v>
      </c>
    </row>
    <row r="189" spans="1:7" x14ac:dyDescent="0.3">
      <c r="A189" t="s">
        <v>34</v>
      </c>
      <c r="B189" t="s">
        <v>47</v>
      </c>
      <c r="C189" t="s">
        <v>52</v>
      </c>
      <c r="D189">
        <v>308</v>
      </c>
      <c r="E189">
        <v>157.74443390969279</v>
      </c>
      <c r="F189">
        <v>48585.29</v>
      </c>
      <c r="G189">
        <v>6014.46</v>
      </c>
    </row>
    <row r="190" spans="1:7" x14ac:dyDescent="0.3">
      <c r="A190" t="s">
        <v>34</v>
      </c>
      <c r="B190" t="s">
        <v>48</v>
      </c>
      <c r="C190" t="s">
        <v>49</v>
      </c>
      <c r="D190">
        <v>165</v>
      </c>
      <c r="E190">
        <v>197.58246456983949</v>
      </c>
      <c r="F190">
        <v>32601.11</v>
      </c>
      <c r="G190">
        <v>3941.79</v>
      </c>
    </row>
    <row r="191" spans="1:7" x14ac:dyDescent="0.3">
      <c r="A191" t="s">
        <v>34</v>
      </c>
      <c r="B191" t="s">
        <v>48</v>
      </c>
      <c r="C191" t="s">
        <v>50</v>
      </c>
      <c r="D191">
        <v>82</v>
      </c>
      <c r="E191">
        <v>84.66799530598324</v>
      </c>
      <c r="F191">
        <v>6942.78</v>
      </c>
      <c r="G191">
        <v>1062.6099999999999</v>
      </c>
    </row>
    <row r="192" spans="1:7" x14ac:dyDescent="0.3">
      <c r="A192" t="s">
        <v>34</v>
      </c>
      <c r="B192" t="s">
        <v>48</v>
      </c>
      <c r="C192" t="s">
        <v>51</v>
      </c>
      <c r="D192">
        <v>334</v>
      </c>
      <c r="E192">
        <v>170.00259539578471</v>
      </c>
      <c r="F192">
        <v>56780.87</v>
      </c>
      <c r="G192">
        <v>8103.15</v>
      </c>
    </row>
    <row r="193" spans="1:7" x14ac:dyDescent="0.3">
      <c r="A193" t="s">
        <v>34</v>
      </c>
      <c r="B193" t="s">
        <v>48</v>
      </c>
      <c r="C193" t="s">
        <v>52</v>
      </c>
      <c r="D193">
        <v>118</v>
      </c>
      <c r="E193">
        <v>35.431902572120308</v>
      </c>
      <c r="F193">
        <v>4180.96</v>
      </c>
      <c r="G193">
        <v>500.7</v>
      </c>
    </row>
    <row r="194" spans="1:7" x14ac:dyDescent="0.3">
      <c r="A194" t="s">
        <v>35</v>
      </c>
      <c r="B194" t="s">
        <v>45</v>
      </c>
      <c r="C194" t="s">
        <v>49</v>
      </c>
      <c r="D194">
        <v>424</v>
      </c>
      <c r="E194">
        <v>20.711344363676151</v>
      </c>
      <c r="F194">
        <v>8781.61</v>
      </c>
      <c r="G194">
        <v>1187.17</v>
      </c>
    </row>
    <row r="195" spans="1:7" x14ac:dyDescent="0.3">
      <c r="A195" t="s">
        <v>35</v>
      </c>
      <c r="B195" t="s">
        <v>45</v>
      </c>
      <c r="C195" t="s">
        <v>50</v>
      </c>
      <c r="D195">
        <v>370</v>
      </c>
      <c r="E195">
        <v>152.48304239929459</v>
      </c>
      <c r="F195">
        <v>56418.73</v>
      </c>
      <c r="G195">
        <v>11060.72</v>
      </c>
    </row>
    <row r="196" spans="1:7" x14ac:dyDescent="0.3">
      <c r="A196" t="s">
        <v>35</v>
      </c>
      <c r="B196" t="s">
        <v>45</v>
      </c>
      <c r="C196" t="s">
        <v>51</v>
      </c>
      <c r="D196">
        <v>278</v>
      </c>
      <c r="E196">
        <v>115.5320240644992</v>
      </c>
      <c r="F196">
        <v>32117.9</v>
      </c>
      <c r="G196">
        <v>4849.76</v>
      </c>
    </row>
    <row r="197" spans="1:7" x14ac:dyDescent="0.3">
      <c r="A197" t="s">
        <v>35</v>
      </c>
      <c r="B197" t="s">
        <v>45</v>
      </c>
      <c r="C197" t="s">
        <v>52</v>
      </c>
      <c r="D197">
        <v>97</v>
      </c>
      <c r="E197">
        <v>48.958612416239731</v>
      </c>
      <c r="F197">
        <v>4748.99</v>
      </c>
      <c r="G197">
        <v>581.54999999999995</v>
      </c>
    </row>
    <row r="198" spans="1:7" x14ac:dyDescent="0.3">
      <c r="A198" t="s">
        <v>35</v>
      </c>
      <c r="B198" t="s">
        <v>46</v>
      </c>
      <c r="C198" t="s">
        <v>49</v>
      </c>
      <c r="D198">
        <v>20</v>
      </c>
      <c r="E198">
        <v>191.26969517915731</v>
      </c>
      <c r="F198">
        <v>3825.39</v>
      </c>
      <c r="G198">
        <v>316.08999999999997</v>
      </c>
    </row>
    <row r="199" spans="1:7" x14ac:dyDescent="0.3">
      <c r="A199" t="s">
        <v>35</v>
      </c>
      <c r="B199" t="s">
        <v>46</v>
      </c>
      <c r="C199" t="s">
        <v>50</v>
      </c>
      <c r="D199">
        <v>388</v>
      </c>
      <c r="E199">
        <v>153.82983511272349</v>
      </c>
      <c r="F199">
        <v>59685.98</v>
      </c>
      <c r="G199">
        <v>10785.84</v>
      </c>
    </row>
    <row r="200" spans="1:7" x14ac:dyDescent="0.3">
      <c r="A200" t="s">
        <v>35</v>
      </c>
      <c r="B200" t="s">
        <v>46</v>
      </c>
      <c r="C200" t="s">
        <v>51</v>
      </c>
      <c r="D200">
        <v>53</v>
      </c>
      <c r="E200">
        <v>78.050916426239695</v>
      </c>
      <c r="F200">
        <v>4136.7</v>
      </c>
      <c r="G200">
        <v>606.63</v>
      </c>
    </row>
    <row r="201" spans="1:7" x14ac:dyDescent="0.3">
      <c r="A201" t="s">
        <v>35</v>
      </c>
      <c r="B201" t="s">
        <v>46</v>
      </c>
      <c r="C201" t="s">
        <v>52</v>
      </c>
      <c r="D201">
        <v>181</v>
      </c>
      <c r="E201">
        <v>100.48003238991269</v>
      </c>
      <c r="F201">
        <v>18186.89</v>
      </c>
      <c r="G201">
        <v>1364.57</v>
      </c>
    </row>
    <row r="202" spans="1:7" x14ac:dyDescent="0.3">
      <c r="A202" t="s">
        <v>35</v>
      </c>
      <c r="B202" t="s">
        <v>47</v>
      </c>
      <c r="C202" t="s">
        <v>49</v>
      </c>
      <c r="D202">
        <v>278</v>
      </c>
      <c r="E202">
        <v>108.8310652112787</v>
      </c>
      <c r="F202">
        <v>30255.040000000001</v>
      </c>
      <c r="G202">
        <v>4338.5600000000004</v>
      </c>
    </row>
    <row r="203" spans="1:7" x14ac:dyDescent="0.3">
      <c r="A203" t="s">
        <v>35</v>
      </c>
      <c r="B203" t="s">
        <v>47</v>
      </c>
      <c r="C203" t="s">
        <v>50</v>
      </c>
      <c r="D203">
        <v>408</v>
      </c>
      <c r="E203">
        <v>26.797562439472848</v>
      </c>
      <c r="F203">
        <v>10933.41</v>
      </c>
      <c r="G203">
        <v>2438.86</v>
      </c>
    </row>
    <row r="204" spans="1:7" x14ac:dyDescent="0.3">
      <c r="A204" t="s">
        <v>35</v>
      </c>
      <c r="B204" t="s">
        <v>47</v>
      </c>
      <c r="C204" t="s">
        <v>51</v>
      </c>
      <c r="D204">
        <v>270</v>
      </c>
      <c r="E204">
        <v>86.661744580355432</v>
      </c>
      <c r="F204">
        <v>23398.67</v>
      </c>
      <c r="G204">
        <v>4279.79</v>
      </c>
    </row>
    <row r="205" spans="1:7" x14ac:dyDescent="0.3">
      <c r="A205" t="s">
        <v>35</v>
      </c>
      <c r="B205" t="s">
        <v>47</v>
      </c>
      <c r="C205" t="s">
        <v>52</v>
      </c>
      <c r="D205">
        <v>85</v>
      </c>
      <c r="E205">
        <v>162.95848682867879</v>
      </c>
      <c r="F205">
        <v>13851.47</v>
      </c>
      <c r="G205">
        <v>2041.33</v>
      </c>
    </row>
    <row r="206" spans="1:7" x14ac:dyDescent="0.3">
      <c r="A206" t="s">
        <v>35</v>
      </c>
      <c r="B206" t="s">
        <v>48</v>
      </c>
      <c r="C206" t="s">
        <v>49</v>
      </c>
      <c r="D206">
        <v>122</v>
      </c>
      <c r="E206">
        <v>35.910580361486247</v>
      </c>
      <c r="F206">
        <v>4381.09</v>
      </c>
      <c r="G206">
        <v>352.16</v>
      </c>
    </row>
    <row r="207" spans="1:7" x14ac:dyDescent="0.3">
      <c r="A207" t="s">
        <v>35</v>
      </c>
      <c r="B207" t="s">
        <v>48</v>
      </c>
      <c r="C207" t="s">
        <v>50</v>
      </c>
      <c r="D207">
        <v>366</v>
      </c>
      <c r="E207">
        <v>27.290397299752751</v>
      </c>
      <c r="F207">
        <v>9988.2900000000009</v>
      </c>
      <c r="G207">
        <v>2036.48</v>
      </c>
    </row>
    <row r="208" spans="1:7" x14ac:dyDescent="0.3">
      <c r="A208" t="s">
        <v>35</v>
      </c>
      <c r="B208" t="s">
        <v>48</v>
      </c>
      <c r="C208" t="s">
        <v>51</v>
      </c>
      <c r="D208">
        <v>327</v>
      </c>
      <c r="E208">
        <v>114.0147983108312</v>
      </c>
      <c r="F208">
        <v>37282.839999999997</v>
      </c>
      <c r="G208">
        <v>6051.8</v>
      </c>
    </row>
    <row r="209" spans="1:7" x14ac:dyDescent="0.3">
      <c r="A209" t="s">
        <v>35</v>
      </c>
      <c r="B209" t="s">
        <v>48</v>
      </c>
      <c r="C209" t="s">
        <v>52</v>
      </c>
      <c r="D209">
        <v>49</v>
      </c>
      <c r="E209">
        <v>128.19647304329601</v>
      </c>
      <c r="F209">
        <v>6281.63</v>
      </c>
      <c r="G209">
        <v>583.74</v>
      </c>
    </row>
    <row r="210" spans="1:7" x14ac:dyDescent="0.3">
      <c r="A210" t="s">
        <v>36</v>
      </c>
      <c r="B210" t="s">
        <v>45</v>
      </c>
      <c r="C210" t="s">
        <v>49</v>
      </c>
      <c r="D210">
        <v>70</v>
      </c>
      <c r="E210">
        <v>142.551955583758</v>
      </c>
      <c r="F210">
        <v>9978.64</v>
      </c>
      <c r="G210">
        <v>1258.3699999999999</v>
      </c>
    </row>
    <row r="211" spans="1:7" x14ac:dyDescent="0.3">
      <c r="A211" t="s">
        <v>36</v>
      </c>
      <c r="B211" t="s">
        <v>45</v>
      </c>
      <c r="C211" t="s">
        <v>50</v>
      </c>
      <c r="D211">
        <v>420</v>
      </c>
      <c r="E211">
        <v>103.50209568511229</v>
      </c>
      <c r="F211">
        <v>43470.879999999997</v>
      </c>
      <c r="G211">
        <v>9493.76</v>
      </c>
    </row>
    <row r="212" spans="1:7" x14ac:dyDescent="0.3">
      <c r="A212" t="s">
        <v>36</v>
      </c>
      <c r="B212" t="s">
        <v>45</v>
      </c>
      <c r="C212" t="s">
        <v>51</v>
      </c>
      <c r="D212">
        <v>359</v>
      </c>
      <c r="E212">
        <v>97.235793685269641</v>
      </c>
      <c r="F212">
        <v>34907.65</v>
      </c>
      <c r="G212">
        <v>5580.9</v>
      </c>
    </row>
    <row r="213" spans="1:7" x14ac:dyDescent="0.3">
      <c r="A213" t="s">
        <v>36</v>
      </c>
      <c r="B213" t="s">
        <v>45</v>
      </c>
      <c r="C213" t="s">
        <v>52</v>
      </c>
      <c r="D213">
        <v>224</v>
      </c>
      <c r="E213">
        <v>49.734850304917693</v>
      </c>
      <c r="F213">
        <v>11140.61</v>
      </c>
      <c r="G213">
        <v>1315.29</v>
      </c>
    </row>
    <row r="214" spans="1:7" x14ac:dyDescent="0.3">
      <c r="A214" t="s">
        <v>36</v>
      </c>
      <c r="B214" t="s">
        <v>46</v>
      </c>
      <c r="C214" t="s">
        <v>49</v>
      </c>
      <c r="D214">
        <v>62</v>
      </c>
      <c r="E214">
        <v>55.627667567856683</v>
      </c>
      <c r="F214">
        <v>3448.92</v>
      </c>
      <c r="G214">
        <v>404.67</v>
      </c>
    </row>
    <row r="215" spans="1:7" x14ac:dyDescent="0.3">
      <c r="A215" t="s">
        <v>36</v>
      </c>
      <c r="B215" t="s">
        <v>46</v>
      </c>
      <c r="C215" t="s">
        <v>50</v>
      </c>
      <c r="D215">
        <v>379</v>
      </c>
      <c r="E215">
        <v>142.335278583145</v>
      </c>
      <c r="F215">
        <v>53945.07</v>
      </c>
      <c r="G215">
        <v>8156.62</v>
      </c>
    </row>
    <row r="216" spans="1:7" x14ac:dyDescent="0.3">
      <c r="A216" t="s">
        <v>36</v>
      </c>
      <c r="B216" t="s">
        <v>46</v>
      </c>
      <c r="C216" t="s">
        <v>51</v>
      </c>
      <c r="D216">
        <v>300</v>
      </c>
      <c r="E216">
        <v>180.38979788214229</v>
      </c>
      <c r="F216">
        <v>54116.94</v>
      </c>
      <c r="G216">
        <v>9800.68</v>
      </c>
    </row>
    <row r="217" spans="1:7" x14ac:dyDescent="0.3">
      <c r="A217" t="s">
        <v>36</v>
      </c>
      <c r="B217" t="s">
        <v>46</v>
      </c>
      <c r="C217" t="s">
        <v>52</v>
      </c>
      <c r="D217">
        <v>453</v>
      </c>
      <c r="E217">
        <v>124.3677251527824</v>
      </c>
      <c r="F217">
        <v>56338.58</v>
      </c>
      <c r="G217">
        <v>4710.63</v>
      </c>
    </row>
    <row r="218" spans="1:7" x14ac:dyDescent="0.3">
      <c r="A218" t="s">
        <v>36</v>
      </c>
      <c r="B218" t="s">
        <v>47</v>
      </c>
      <c r="C218" t="s">
        <v>49</v>
      </c>
      <c r="D218">
        <v>70</v>
      </c>
      <c r="E218">
        <v>17.76503709063098</v>
      </c>
      <c r="F218">
        <v>1243.55</v>
      </c>
      <c r="G218">
        <v>160.91</v>
      </c>
    </row>
    <row r="219" spans="1:7" x14ac:dyDescent="0.3">
      <c r="A219" t="s">
        <v>36</v>
      </c>
      <c r="B219" t="s">
        <v>47</v>
      </c>
      <c r="C219" t="s">
        <v>50</v>
      </c>
      <c r="D219">
        <v>336</v>
      </c>
      <c r="E219">
        <v>16.042889482181369</v>
      </c>
      <c r="F219">
        <v>5390.41</v>
      </c>
      <c r="G219">
        <v>992.6</v>
      </c>
    </row>
    <row r="220" spans="1:7" x14ac:dyDescent="0.3">
      <c r="A220" t="s">
        <v>36</v>
      </c>
      <c r="B220" t="s">
        <v>47</v>
      </c>
      <c r="C220" t="s">
        <v>51</v>
      </c>
      <c r="D220">
        <v>345</v>
      </c>
      <c r="E220">
        <v>32.920815509114149</v>
      </c>
      <c r="F220">
        <v>11357.68</v>
      </c>
      <c r="G220">
        <v>1605.05</v>
      </c>
    </row>
    <row r="221" spans="1:7" x14ac:dyDescent="0.3">
      <c r="A221" t="s">
        <v>36</v>
      </c>
      <c r="B221" t="s">
        <v>47</v>
      </c>
      <c r="C221" t="s">
        <v>52</v>
      </c>
      <c r="D221">
        <v>53</v>
      </c>
      <c r="E221">
        <v>34.462195676932339</v>
      </c>
      <c r="F221">
        <v>1826.5</v>
      </c>
      <c r="G221">
        <v>212.18</v>
      </c>
    </row>
    <row r="222" spans="1:7" x14ac:dyDescent="0.3">
      <c r="A222" t="s">
        <v>36</v>
      </c>
      <c r="B222" t="s">
        <v>48</v>
      </c>
      <c r="C222" t="s">
        <v>49</v>
      </c>
      <c r="D222">
        <v>237</v>
      </c>
      <c r="E222">
        <v>141.17501743957939</v>
      </c>
      <c r="F222">
        <v>33458.480000000003</v>
      </c>
      <c r="G222">
        <v>3379.49</v>
      </c>
    </row>
    <row r="223" spans="1:7" x14ac:dyDescent="0.3">
      <c r="A223" t="s">
        <v>36</v>
      </c>
      <c r="B223" t="s">
        <v>48</v>
      </c>
      <c r="C223" t="s">
        <v>50</v>
      </c>
      <c r="D223">
        <v>369</v>
      </c>
      <c r="E223">
        <v>39.825759716076803</v>
      </c>
      <c r="F223">
        <v>14695.71</v>
      </c>
      <c r="G223">
        <v>2634.64</v>
      </c>
    </row>
    <row r="224" spans="1:7" x14ac:dyDescent="0.3">
      <c r="A224" t="s">
        <v>36</v>
      </c>
      <c r="B224" t="s">
        <v>48</v>
      </c>
      <c r="C224" t="s">
        <v>51</v>
      </c>
      <c r="D224">
        <v>67</v>
      </c>
      <c r="E224">
        <v>21.60481237242411</v>
      </c>
      <c r="F224">
        <v>1447.52</v>
      </c>
      <c r="G224">
        <v>234.54</v>
      </c>
    </row>
    <row r="225" spans="1:7" x14ac:dyDescent="0.3">
      <c r="A225" t="s">
        <v>36</v>
      </c>
      <c r="B225" t="s">
        <v>48</v>
      </c>
      <c r="C225" t="s">
        <v>52</v>
      </c>
      <c r="D225">
        <v>132</v>
      </c>
      <c r="E225">
        <v>123.4828356285318</v>
      </c>
      <c r="F225">
        <v>16299.73</v>
      </c>
      <c r="G225">
        <v>1346.24</v>
      </c>
    </row>
    <row r="226" spans="1:7" x14ac:dyDescent="0.3">
      <c r="A226" t="s">
        <v>37</v>
      </c>
      <c r="B226" t="s">
        <v>45</v>
      </c>
      <c r="C226" t="s">
        <v>49</v>
      </c>
      <c r="D226">
        <v>199</v>
      </c>
      <c r="E226">
        <v>49.776371433974958</v>
      </c>
      <c r="F226">
        <v>9905.5</v>
      </c>
      <c r="G226">
        <v>1233.22</v>
      </c>
    </row>
    <row r="227" spans="1:7" x14ac:dyDescent="0.3">
      <c r="A227" t="s">
        <v>37</v>
      </c>
      <c r="B227" t="s">
        <v>45</v>
      </c>
      <c r="C227" t="s">
        <v>50</v>
      </c>
      <c r="D227">
        <v>493</v>
      </c>
      <c r="E227">
        <v>154.39152769814129</v>
      </c>
      <c r="F227">
        <v>76115.02</v>
      </c>
      <c r="G227">
        <v>10957.64</v>
      </c>
    </row>
    <row r="228" spans="1:7" x14ac:dyDescent="0.3">
      <c r="A228" t="s">
        <v>37</v>
      </c>
      <c r="B228" t="s">
        <v>45</v>
      </c>
      <c r="C228" t="s">
        <v>51</v>
      </c>
      <c r="D228">
        <v>97</v>
      </c>
      <c r="E228">
        <v>97.881596065298098</v>
      </c>
      <c r="F228">
        <v>9494.51</v>
      </c>
      <c r="G228">
        <v>1680.79</v>
      </c>
    </row>
    <row r="229" spans="1:7" x14ac:dyDescent="0.3">
      <c r="A229" t="s">
        <v>37</v>
      </c>
      <c r="B229" t="s">
        <v>45</v>
      </c>
      <c r="C229" t="s">
        <v>52</v>
      </c>
      <c r="D229">
        <v>130</v>
      </c>
      <c r="E229">
        <v>170.4437278003895</v>
      </c>
      <c r="F229">
        <v>22157.68</v>
      </c>
      <c r="G229">
        <v>1999.54</v>
      </c>
    </row>
    <row r="230" spans="1:7" x14ac:dyDescent="0.3">
      <c r="A230" t="s">
        <v>37</v>
      </c>
      <c r="B230" t="s">
        <v>46</v>
      </c>
      <c r="C230" t="s">
        <v>49</v>
      </c>
      <c r="D230">
        <v>382</v>
      </c>
      <c r="E230">
        <v>111.10156220041</v>
      </c>
      <c r="F230">
        <v>42440.800000000003</v>
      </c>
      <c r="G230">
        <v>4559.91</v>
      </c>
    </row>
    <row r="231" spans="1:7" x14ac:dyDescent="0.3">
      <c r="A231" t="s">
        <v>37</v>
      </c>
      <c r="B231" t="s">
        <v>46</v>
      </c>
      <c r="C231" t="s">
        <v>50</v>
      </c>
      <c r="D231">
        <v>246</v>
      </c>
      <c r="E231">
        <v>85.46112817577567</v>
      </c>
      <c r="F231">
        <v>21023.439999999999</v>
      </c>
      <c r="G231">
        <v>3172.21</v>
      </c>
    </row>
    <row r="232" spans="1:7" x14ac:dyDescent="0.3">
      <c r="A232" t="s">
        <v>37</v>
      </c>
      <c r="B232" t="s">
        <v>46</v>
      </c>
      <c r="C232" t="s">
        <v>51</v>
      </c>
      <c r="D232">
        <v>211</v>
      </c>
      <c r="E232">
        <v>61.156213880382381</v>
      </c>
      <c r="F232">
        <v>12903.96</v>
      </c>
      <c r="G232">
        <v>1758.32</v>
      </c>
    </row>
    <row r="233" spans="1:7" x14ac:dyDescent="0.3">
      <c r="A233" t="s">
        <v>37</v>
      </c>
      <c r="B233" t="s">
        <v>46</v>
      </c>
      <c r="C233" t="s">
        <v>52</v>
      </c>
      <c r="D233">
        <v>460</v>
      </c>
      <c r="E233">
        <v>169.73489731680689</v>
      </c>
      <c r="F233">
        <v>78078.05</v>
      </c>
      <c r="G233">
        <v>6952.4</v>
      </c>
    </row>
    <row r="234" spans="1:7" x14ac:dyDescent="0.3">
      <c r="A234" t="s">
        <v>37</v>
      </c>
      <c r="B234" t="s">
        <v>47</v>
      </c>
      <c r="C234" t="s">
        <v>49</v>
      </c>
      <c r="D234">
        <v>105</v>
      </c>
      <c r="E234">
        <v>72.22449691380379</v>
      </c>
      <c r="F234">
        <v>7583.57</v>
      </c>
      <c r="G234">
        <v>1317.59</v>
      </c>
    </row>
    <row r="235" spans="1:7" x14ac:dyDescent="0.3">
      <c r="A235" t="s">
        <v>37</v>
      </c>
      <c r="B235" t="s">
        <v>47</v>
      </c>
      <c r="C235" t="s">
        <v>50</v>
      </c>
      <c r="D235">
        <v>86</v>
      </c>
      <c r="E235">
        <v>133.27633965539951</v>
      </c>
      <c r="F235">
        <v>11461.77</v>
      </c>
      <c r="G235">
        <v>2494.46</v>
      </c>
    </row>
    <row r="236" spans="1:7" x14ac:dyDescent="0.3">
      <c r="A236" t="s">
        <v>37</v>
      </c>
      <c r="B236" t="s">
        <v>47</v>
      </c>
      <c r="C236" t="s">
        <v>51</v>
      </c>
      <c r="D236">
        <v>165</v>
      </c>
      <c r="E236">
        <v>26.514854736610499</v>
      </c>
      <c r="F236">
        <v>4374.95</v>
      </c>
      <c r="G236">
        <v>951.49</v>
      </c>
    </row>
    <row r="237" spans="1:7" x14ac:dyDescent="0.3">
      <c r="A237" t="s">
        <v>37</v>
      </c>
      <c r="B237" t="s">
        <v>47</v>
      </c>
      <c r="C237" t="s">
        <v>52</v>
      </c>
      <c r="D237">
        <v>283</v>
      </c>
      <c r="E237">
        <v>121.4417325855442</v>
      </c>
      <c r="F237">
        <v>34368.01</v>
      </c>
      <c r="G237">
        <v>4821.51</v>
      </c>
    </row>
    <row r="238" spans="1:7" x14ac:dyDescent="0.3">
      <c r="A238" t="s">
        <v>37</v>
      </c>
      <c r="B238" t="s">
        <v>48</v>
      </c>
      <c r="C238" t="s">
        <v>49</v>
      </c>
      <c r="D238">
        <v>255</v>
      </c>
      <c r="E238">
        <v>34.240257531157113</v>
      </c>
      <c r="F238">
        <v>8731.27</v>
      </c>
      <c r="G238">
        <v>851.19</v>
      </c>
    </row>
    <row r="239" spans="1:7" x14ac:dyDescent="0.3">
      <c r="A239" t="s">
        <v>37</v>
      </c>
      <c r="B239" t="s">
        <v>48</v>
      </c>
      <c r="C239" t="s">
        <v>50</v>
      </c>
      <c r="D239">
        <v>301</v>
      </c>
      <c r="E239">
        <v>125.4354922357788</v>
      </c>
      <c r="F239">
        <v>37756.080000000002</v>
      </c>
      <c r="G239">
        <v>5563.13</v>
      </c>
    </row>
    <row r="240" spans="1:7" x14ac:dyDescent="0.3">
      <c r="A240" t="s">
        <v>37</v>
      </c>
      <c r="B240" t="s">
        <v>48</v>
      </c>
      <c r="C240" t="s">
        <v>51</v>
      </c>
      <c r="D240">
        <v>462</v>
      </c>
      <c r="E240">
        <v>77.65837792059078</v>
      </c>
      <c r="F240">
        <v>35878.17</v>
      </c>
      <c r="G240">
        <v>5222.2</v>
      </c>
    </row>
    <row r="241" spans="1:7" x14ac:dyDescent="0.3">
      <c r="A241" t="s">
        <v>37</v>
      </c>
      <c r="B241" t="s">
        <v>48</v>
      </c>
      <c r="C241" t="s">
        <v>52</v>
      </c>
      <c r="D241">
        <v>308</v>
      </c>
      <c r="E241">
        <v>11.431528995474199</v>
      </c>
      <c r="F241">
        <v>3520.91</v>
      </c>
      <c r="G241">
        <v>343.46</v>
      </c>
    </row>
    <row r="242" spans="1:7" x14ac:dyDescent="0.3">
      <c r="A242" t="s">
        <v>38</v>
      </c>
      <c r="B242" t="s">
        <v>45</v>
      </c>
      <c r="C242" t="s">
        <v>49</v>
      </c>
      <c r="D242">
        <v>296</v>
      </c>
      <c r="E242">
        <v>39.043236445023084</v>
      </c>
      <c r="F242">
        <v>11556.8</v>
      </c>
      <c r="G242">
        <v>1352</v>
      </c>
    </row>
    <row r="243" spans="1:7" x14ac:dyDescent="0.3">
      <c r="A243" t="s">
        <v>38</v>
      </c>
      <c r="B243" t="s">
        <v>45</v>
      </c>
      <c r="C243" t="s">
        <v>50</v>
      </c>
      <c r="D243">
        <v>350</v>
      </c>
      <c r="E243">
        <v>26.698648662627331</v>
      </c>
      <c r="F243">
        <v>9344.5300000000007</v>
      </c>
      <c r="G243">
        <v>1684.42</v>
      </c>
    </row>
    <row r="244" spans="1:7" x14ac:dyDescent="0.3">
      <c r="A244" t="s">
        <v>38</v>
      </c>
      <c r="B244" t="s">
        <v>45</v>
      </c>
      <c r="C244" t="s">
        <v>51</v>
      </c>
      <c r="D244">
        <v>369</v>
      </c>
      <c r="E244">
        <v>42.940983106003422</v>
      </c>
      <c r="F244">
        <v>15845.22</v>
      </c>
      <c r="G244">
        <v>1742.1</v>
      </c>
    </row>
    <row r="245" spans="1:7" x14ac:dyDescent="0.3">
      <c r="A245" t="s">
        <v>38</v>
      </c>
      <c r="B245" t="s">
        <v>45</v>
      </c>
      <c r="C245" t="s">
        <v>52</v>
      </c>
      <c r="D245">
        <v>55</v>
      </c>
      <c r="E245">
        <v>199.47855160599491</v>
      </c>
      <c r="F245">
        <v>10971.32</v>
      </c>
      <c r="G245">
        <v>1357.07</v>
      </c>
    </row>
    <row r="246" spans="1:7" x14ac:dyDescent="0.3">
      <c r="A246" t="s">
        <v>38</v>
      </c>
      <c r="B246" t="s">
        <v>46</v>
      </c>
      <c r="C246" t="s">
        <v>49</v>
      </c>
      <c r="D246">
        <v>25</v>
      </c>
      <c r="E246">
        <v>85.592563818690905</v>
      </c>
      <c r="F246">
        <v>2139.81</v>
      </c>
      <c r="G246">
        <v>210.7</v>
      </c>
    </row>
    <row r="247" spans="1:7" x14ac:dyDescent="0.3">
      <c r="A247" t="s">
        <v>38</v>
      </c>
      <c r="B247" t="s">
        <v>46</v>
      </c>
      <c r="C247" t="s">
        <v>50</v>
      </c>
      <c r="D247">
        <v>454</v>
      </c>
      <c r="E247">
        <v>165.96367989913699</v>
      </c>
      <c r="F247">
        <v>75347.509999999995</v>
      </c>
      <c r="G247">
        <v>13947.41</v>
      </c>
    </row>
    <row r="248" spans="1:7" x14ac:dyDescent="0.3">
      <c r="A248" t="s">
        <v>38</v>
      </c>
      <c r="B248" t="s">
        <v>46</v>
      </c>
      <c r="C248" t="s">
        <v>51</v>
      </c>
      <c r="D248">
        <v>213</v>
      </c>
      <c r="E248">
        <v>115.7849496726467</v>
      </c>
      <c r="F248">
        <v>24662.19</v>
      </c>
      <c r="G248">
        <v>2629.28</v>
      </c>
    </row>
    <row r="249" spans="1:7" x14ac:dyDescent="0.3">
      <c r="A249" t="s">
        <v>38</v>
      </c>
      <c r="B249" t="s">
        <v>46</v>
      </c>
      <c r="C249" t="s">
        <v>52</v>
      </c>
      <c r="D249">
        <v>319</v>
      </c>
      <c r="E249">
        <v>48.964736428397231</v>
      </c>
      <c r="F249">
        <v>15619.75</v>
      </c>
      <c r="G249">
        <v>1575.52</v>
      </c>
    </row>
    <row r="250" spans="1:7" x14ac:dyDescent="0.3">
      <c r="A250" t="s">
        <v>38</v>
      </c>
      <c r="B250" t="s">
        <v>47</v>
      </c>
      <c r="C250" t="s">
        <v>49</v>
      </c>
      <c r="D250">
        <v>429</v>
      </c>
      <c r="E250">
        <v>71.499054916806301</v>
      </c>
      <c r="F250">
        <v>30673.09</v>
      </c>
      <c r="G250">
        <v>4465.8500000000004</v>
      </c>
    </row>
    <row r="251" spans="1:7" x14ac:dyDescent="0.3">
      <c r="A251" t="s">
        <v>38</v>
      </c>
      <c r="B251" t="s">
        <v>47</v>
      </c>
      <c r="C251" t="s">
        <v>50</v>
      </c>
      <c r="D251">
        <v>132</v>
      </c>
      <c r="E251">
        <v>110.6696044044122</v>
      </c>
      <c r="F251">
        <v>14608.39</v>
      </c>
      <c r="G251">
        <v>2120.86</v>
      </c>
    </row>
    <row r="252" spans="1:7" x14ac:dyDescent="0.3">
      <c r="A252" t="s">
        <v>38</v>
      </c>
      <c r="B252" t="s">
        <v>47</v>
      </c>
      <c r="C252" t="s">
        <v>51</v>
      </c>
      <c r="D252">
        <v>20</v>
      </c>
      <c r="E252">
        <v>126.01780806391019</v>
      </c>
      <c r="F252">
        <v>2520.36</v>
      </c>
      <c r="G252">
        <v>460.65</v>
      </c>
    </row>
    <row r="253" spans="1:7" x14ac:dyDescent="0.3">
      <c r="A253" t="s">
        <v>38</v>
      </c>
      <c r="B253" t="s">
        <v>47</v>
      </c>
      <c r="C253" t="s">
        <v>52</v>
      </c>
      <c r="D253">
        <v>158</v>
      </c>
      <c r="E253">
        <v>187.08272502881749</v>
      </c>
      <c r="F253">
        <v>29559.07</v>
      </c>
      <c r="G253">
        <v>2564.83</v>
      </c>
    </row>
    <row r="254" spans="1:7" x14ac:dyDescent="0.3">
      <c r="A254" t="s">
        <v>38</v>
      </c>
      <c r="B254" t="s">
        <v>48</v>
      </c>
      <c r="C254" t="s">
        <v>49</v>
      </c>
      <c r="D254">
        <v>352</v>
      </c>
      <c r="E254">
        <v>111.19199218480129</v>
      </c>
      <c r="F254">
        <v>39139.58</v>
      </c>
      <c r="G254">
        <v>4384.7700000000004</v>
      </c>
    </row>
    <row r="255" spans="1:7" x14ac:dyDescent="0.3">
      <c r="A255" t="s">
        <v>38</v>
      </c>
      <c r="B255" t="s">
        <v>48</v>
      </c>
      <c r="C255" t="s">
        <v>50</v>
      </c>
      <c r="D255">
        <v>29</v>
      </c>
      <c r="E255">
        <v>114.2345924082491</v>
      </c>
      <c r="F255">
        <v>3312.8</v>
      </c>
      <c r="G255">
        <v>552.74</v>
      </c>
    </row>
    <row r="256" spans="1:7" x14ac:dyDescent="0.3">
      <c r="A256" t="s">
        <v>38</v>
      </c>
      <c r="B256" t="s">
        <v>48</v>
      </c>
      <c r="C256" t="s">
        <v>51</v>
      </c>
      <c r="D256">
        <v>157</v>
      </c>
      <c r="E256">
        <v>198.09244415408961</v>
      </c>
      <c r="F256">
        <v>31100.51</v>
      </c>
      <c r="G256">
        <v>5135.5</v>
      </c>
    </row>
    <row r="257" spans="1:7" x14ac:dyDescent="0.3">
      <c r="A257" t="s">
        <v>38</v>
      </c>
      <c r="B257" t="s">
        <v>48</v>
      </c>
      <c r="C257" t="s">
        <v>52</v>
      </c>
      <c r="D257">
        <v>340</v>
      </c>
      <c r="E257">
        <v>36.37670695398387</v>
      </c>
      <c r="F257">
        <v>12368.08</v>
      </c>
      <c r="G257">
        <v>1032.27</v>
      </c>
    </row>
    <row r="258" spans="1:7" x14ac:dyDescent="0.3">
      <c r="A258" t="s">
        <v>39</v>
      </c>
      <c r="B258" t="s">
        <v>45</v>
      </c>
      <c r="C258" t="s">
        <v>49</v>
      </c>
      <c r="D258">
        <v>348</v>
      </c>
      <c r="E258">
        <v>154.44329337904051</v>
      </c>
      <c r="F258">
        <v>53746.27</v>
      </c>
      <c r="G258">
        <v>6209.48</v>
      </c>
    </row>
    <row r="259" spans="1:7" x14ac:dyDescent="0.3">
      <c r="A259" t="s">
        <v>39</v>
      </c>
      <c r="B259" t="s">
        <v>45</v>
      </c>
      <c r="C259" t="s">
        <v>50</v>
      </c>
      <c r="D259">
        <v>438</v>
      </c>
      <c r="E259">
        <v>76.284970643169103</v>
      </c>
      <c r="F259">
        <v>33412.82</v>
      </c>
      <c r="G259">
        <v>7974.87</v>
      </c>
    </row>
    <row r="260" spans="1:7" x14ac:dyDescent="0.3">
      <c r="A260" t="s">
        <v>39</v>
      </c>
      <c r="B260" t="s">
        <v>45</v>
      </c>
      <c r="C260" t="s">
        <v>51</v>
      </c>
      <c r="D260">
        <v>324</v>
      </c>
      <c r="E260">
        <v>171.63821740312639</v>
      </c>
      <c r="F260">
        <v>55610.78</v>
      </c>
      <c r="G260">
        <v>8275.17</v>
      </c>
    </row>
    <row r="261" spans="1:7" x14ac:dyDescent="0.3">
      <c r="A261" t="s">
        <v>39</v>
      </c>
      <c r="B261" t="s">
        <v>45</v>
      </c>
      <c r="C261" t="s">
        <v>52</v>
      </c>
      <c r="D261">
        <v>392</v>
      </c>
      <c r="E261">
        <v>148.86482028869241</v>
      </c>
      <c r="F261">
        <v>58355.01</v>
      </c>
      <c r="G261">
        <v>8175.57</v>
      </c>
    </row>
    <row r="262" spans="1:7" x14ac:dyDescent="0.3">
      <c r="A262" t="s">
        <v>39</v>
      </c>
      <c r="B262" t="s">
        <v>46</v>
      </c>
      <c r="C262" t="s">
        <v>49</v>
      </c>
      <c r="D262">
        <v>156</v>
      </c>
      <c r="E262">
        <v>48.95034391011508</v>
      </c>
      <c r="F262">
        <v>7636.25</v>
      </c>
      <c r="G262">
        <v>942.02</v>
      </c>
    </row>
    <row r="263" spans="1:7" x14ac:dyDescent="0.3">
      <c r="A263" t="s">
        <v>39</v>
      </c>
      <c r="B263" t="s">
        <v>46</v>
      </c>
      <c r="C263" t="s">
        <v>50</v>
      </c>
      <c r="D263">
        <v>339</v>
      </c>
      <c r="E263">
        <v>119.1498915041833</v>
      </c>
      <c r="F263">
        <v>40391.81</v>
      </c>
      <c r="G263">
        <v>6713.76</v>
      </c>
    </row>
    <row r="264" spans="1:7" x14ac:dyDescent="0.3">
      <c r="A264" t="s">
        <v>39</v>
      </c>
      <c r="B264" t="s">
        <v>46</v>
      </c>
      <c r="C264" t="s">
        <v>51</v>
      </c>
      <c r="D264">
        <v>339</v>
      </c>
      <c r="E264">
        <v>158.48775153276881</v>
      </c>
      <c r="F264">
        <v>53727.35</v>
      </c>
      <c r="G264">
        <v>8093.4</v>
      </c>
    </row>
    <row r="265" spans="1:7" x14ac:dyDescent="0.3">
      <c r="A265" t="s">
        <v>39</v>
      </c>
      <c r="B265" t="s">
        <v>46</v>
      </c>
      <c r="C265" t="s">
        <v>52</v>
      </c>
      <c r="D265">
        <v>335</v>
      </c>
      <c r="E265">
        <v>41.094629144483861</v>
      </c>
      <c r="F265">
        <v>13766.7</v>
      </c>
      <c r="G265">
        <v>1430.73</v>
      </c>
    </row>
    <row r="266" spans="1:7" x14ac:dyDescent="0.3">
      <c r="A266" t="s">
        <v>39</v>
      </c>
      <c r="B266" t="s">
        <v>47</v>
      </c>
      <c r="C266" t="s">
        <v>49</v>
      </c>
      <c r="D266">
        <v>232</v>
      </c>
      <c r="E266">
        <v>45.416947489747379</v>
      </c>
      <c r="F266">
        <v>10536.73</v>
      </c>
      <c r="G266">
        <v>1612.84</v>
      </c>
    </row>
    <row r="267" spans="1:7" x14ac:dyDescent="0.3">
      <c r="A267" t="s">
        <v>39</v>
      </c>
      <c r="B267" t="s">
        <v>47</v>
      </c>
      <c r="C267" t="s">
        <v>50</v>
      </c>
      <c r="D267">
        <v>81</v>
      </c>
      <c r="E267">
        <v>78.177791983465468</v>
      </c>
      <c r="F267">
        <v>6332.4</v>
      </c>
      <c r="G267">
        <v>1102.96</v>
      </c>
    </row>
    <row r="268" spans="1:7" x14ac:dyDescent="0.3">
      <c r="A268" t="s">
        <v>39</v>
      </c>
      <c r="B268" t="s">
        <v>47</v>
      </c>
      <c r="C268" t="s">
        <v>51</v>
      </c>
      <c r="D268">
        <v>256</v>
      </c>
      <c r="E268">
        <v>121.7782684010608</v>
      </c>
      <c r="F268">
        <v>31175.24</v>
      </c>
      <c r="G268">
        <v>4987.55</v>
      </c>
    </row>
    <row r="269" spans="1:7" x14ac:dyDescent="0.3">
      <c r="A269" t="s">
        <v>39</v>
      </c>
      <c r="B269" t="s">
        <v>47</v>
      </c>
      <c r="C269" t="s">
        <v>52</v>
      </c>
      <c r="D269">
        <v>123</v>
      </c>
      <c r="E269">
        <v>81.619441590732436</v>
      </c>
      <c r="F269">
        <v>10039.19</v>
      </c>
      <c r="G269">
        <v>1587.6</v>
      </c>
    </row>
    <row r="270" spans="1:7" x14ac:dyDescent="0.3">
      <c r="A270" t="s">
        <v>39</v>
      </c>
      <c r="B270" t="s">
        <v>48</v>
      </c>
      <c r="C270" t="s">
        <v>49</v>
      </c>
      <c r="D270">
        <v>198</v>
      </c>
      <c r="E270">
        <v>128.57929339454921</v>
      </c>
      <c r="F270">
        <v>25458.7</v>
      </c>
      <c r="G270">
        <v>1743.23</v>
      </c>
    </row>
    <row r="271" spans="1:7" x14ac:dyDescent="0.3">
      <c r="A271" t="s">
        <v>39</v>
      </c>
      <c r="B271" t="s">
        <v>48</v>
      </c>
      <c r="C271" t="s">
        <v>50</v>
      </c>
      <c r="D271">
        <v>172</v>
      </c>
      <c r="E271">
        <v>77.518865845495213</v>
      </c>
      <c r="F271">
        <v>13333.24</v>
      </c>
      <c r="G271">
        <v>2736.2</v>
      </c>
    </row>
    <row r="272" spans="1:7" x14ac:dyDescent="0.3">
      <c r="A272" t="s">
        <v>39</v>
      </c>
      <c r="B272" t="s">
        <v>48</v>
      </c>
      <c r="C272" t="s">
        <v>51</v>
      </c>
      <c r="D272">
        <v>469</v>
      </c>
      <c r="E272">
        <v>113.27504361165779</v>
      </c>
      <c r="F272">
        <v>53126</v>
      </c>
      <c r="G272">
        <v>7953.62</v>
      </c>
    </row>
    <row r="273" spans="1:7" x14ac:dyDescent="0.3">
      <c r="A273" t="s">
        <v>39</v>
      </c>
      <c r="B273" t="s">
        <v>48</v>
      </c>
      <c r="C273" t="s">
        <v>52</v>
      </c>
      <c r="D273">
        <v>454</v>
      </c>
      <c r="E273">
        <v>91.990347195924102</v>
      </c>
      <c r="F273">
        <v>41763.620000000003</v>
      </c>
      <c r="G273">
        <v>4611.43</v>
      </c>
    </row>
    <row r="274" spans="1:7" x14ac:dyDescent="0.3">
      <c r="A274" t="s">
        <v>40</v>
      </c>
      <c r="B274" t="s">
        <v>45</v>
      </c>
      <c r="C274" t="s">
        <v>49</v>
      </c>
      <c r="D274">
        <v>86</v>
      </c>
      <c r="E274">
        <v>129.26453008356941</v>
      </c>
      <c r="F274">
        <v>11116.75</v>
      </c>
      <c r="G274">
        <v>1250.68</v>
      </c>
    </row>
    <row r="275" spans="1:7" x14ac:dyDescent="0.3">
      <c r="A275" t="s">
        <v>40</v>
      </c>
      <c r="B275" t="s">
        <v>45</v>
      </c>
      <c r="C275" t="s">
        <v>50</v>
      </c>
      <c r="D275">
        <v>34</v>
      </c>
      <c r="E275">
        <v>176.9395319209533</v>
      </c>
      <c r="F275">
        <v>6015.94</v>
      </c>
      <c r="G275">
        <v>1094.8599999999999</v>
      </c>
    </row>
    <row r="276" spans="1:7" x14ac:dyDescent="0.3">
      <c r="A276" t="s">
        <v>40</v>
      </c>
      <c r="B276" t="s">
        <v>45</v>
      </c>
      <c r="C276" t="s">
        <v>51</v>
      </c>
      <c r="D276">
        <v>308</v>
      </c>
      <c r="E276">
        <v>111.3576074755011</v>
      </c>
      <c r="F276">
        <v>34298.14</v>
      </c>
      <c r="G276">
        <v>5612.46</v>
      </c>
    </row>
    <row r="277" spans="1:7" x14ac:dyDescent="0.3">
      <c r="A277" t="s">
        <v>40</v>
      </c>
      <c r="B277" t="s">
        <v>45</v>
      </c>
      <c r="C277" t="s">
        <v>52</v>
      </c>
      <c r="D277">
        <v>57</v>
      </c>
      <c r="E277">
        <v>152.9565928073763</v>
      </c>
      <c r="F277">
        <v>8718.5300000000007</v>
      </c>
      <c r="G277">
        <v>1002.32</v>
      </c>
    </row>
    <row r="278" spans="1:7" x14ac:dyDescent="0.3">
      <c r="A278" t="s">
        <v>40</v>
      </c>
      <c r="B278" t="s">
        <v>46</v>
      </c>
      <c r="C278" t="s">
        <v>49</v>
      </c>
      <c r="D278">
        <v>430</v>
      </c>
      <c r="E278">
        <v>151.3497955888086</v>
      </c>
      <c r="F278">
        <v>65080.41</v>
      </c>
      <c r="G278">
        <v>7252</v>
      </c>
    </row>
    <row r="279" spans="1:7" x14ac:dyDescent="0.3">
      <c r="A279" t="s">
        <v>40</v>
      </c>
      <c r="B279" t="s">
        <v>46</v>
      </c>
      <c r="C279" t="s">
        <v>50</v>
      </c>
      <c r="D279">
        <v>29</v>
      </c>
      <c r="E279">
        <v>103.8564825548639</v>
      </c>
      <c r="F279">
        <v>3011.84</v>
      </c>
      <c r="G279">
        <v>483.24</v>
      </c>
    </row>
    <row r="280" spans="1:7" x14ac:dyDescent="0.3">
      <c r="A280" t="s">
        <v>40</v>
      </c>
      <c r="B280" t="s">
        <v>46</v>
      </c>
      <c r="C280" t="s">
        <v>51</v>
      </c>
      <c r="D280">
        <v>349</v>
      </c>
      <c r="E280">
        <v>74.995532256022415</v>
      </c>
      <c r="F280">
        <v>26173.439999999999</v>
      </c>
      <c r="G280">
        <v>4337.97</v>
      </c>
    </row>
    <row r="281" spans="1:7" x14ac:dyDescent="0.3">
      <c r="A281" t="s">
        <v>40</v>
      </c>
      <c r="B281" t="s">
        <v>46</v>
      </c>
      <c r="C281" t="s">
        <v>52</v>
      </c>
      <c r="D281">
        <v>280</v>
      </c>
      <c r="E281">
        <v>102.4079215791655</v>
      </c>
      <c r="F281">
        <v>28674.22</v>
      </c>
      <c r="G281">
        <v>2325.69</v>
      </c>
    </row>
    <row r="282" spans="1:7" x14ac:dyDescent="0.3">
      <c r="A282" t="s">
        <v>40</v>
      </c>
      <c r="B282" t="s">
        <v>47</v>
      </c>
      <c r="C282" t="s">
        <v>49</v>
      </c>
      <c r="D282">
        <v>343</v>
      </c>
      <c r="E282">
        <v>147.22798799468259</v>
      </c>
      <c r="F282">
        <v>50499.199999999997</v>
      </c>
      <c r="G282">
        <v>7948.18</v>
      </c>
    </row>
    <row r="283" spans="1:7" x14ac:dyDescent="0.3">
      <c r="A283" t="s">
        <v>40</v>
      </c>
      <c r="B283" t="s">
        <v>47</v>
      </c>
      <c r="C283" t="s">
        <v>50</v>
      </c>
      <c r="D283">
        <v>262</v>
      </c>
      <c r="E283">
        <v>117.446585991365</v>
      </c>
      <c r="F283">
        <v>30771.01</v>
      </c>
      <c r="G283">
        <v>6988.49</v>
      </c>
    </row>
    <row r="284" spans="1:7" x14ac:dyDescent="0.3">
      <c r="A284" t="s">
        <v>40</v>
      </c>
      <c r="B284" t="s">
        <v>47</v>
      </c>
      <c r="C284" t="s">
        <v>51</v>
      </c>
      <c r="D284">
        <v>301</v>
      </c>
      <c r="E284">
        <v>57.841821192321021</v>
      </c>
      <c r="F284">
        <v>17410.39</v>
      </c>
      <c r="G284">
        <v>2591.23</v>
      </c>
    </row>
    <row r="285" spans="1:7" x14ac:dyDescent="0.3">
      <c r="A285" t="s">
        <v>40</v>
      </c>
      <c r="B285" t="s">
        <v>47</v>
      </c>
      <c r="C285" t="s">
        <v>52</v>
      </c>
      <c r="D285">
        <v>349</v>
      </c>
      <c r="E285">
        <v>75.079608863923241</v>
      </c>
      <c r="F285">
        <v>26202.78</v>
      </c>
      <c r="G285">
        <v>2875.54</v>
      </c>
    </row>
    <row r="286" spans="1:7" x14ac:dyDescent="0.3">
      <c r="A286" t="s">
        <v>40</v>
      </c>
      <c r="B286" t="s">
        <v>48</v>
      </c>
      <c r="C286" t="s">
        <v>49</v>
      </c>
      <c r="D286">
        <v>153</v>
      </c>
      <c r="E286">
        <v>86.161769185091572</v>
      </c>
      <c r="F286">
        <v>13182.75</v>
      </c>
      <c r="G286">
        <v>1688.54</v>
      </c>
    </row>
    <row r="287" spans="1:7" x14ac:dyDescent="0.3">
      <c r="A287" t="s">
        <v>40</v>
      </c>
      <c r="B287" t="s">
        <v>48</v>
      </c>
      <c r="C287" t="s">
        <v>50</v>
      </c>
      <c r="D287">
        <v>415</v>
      </c>
      <c r="E287">
        <v>183.25195768016329</v>
      </c>
      <c r="F287">
        <v>76049.56</v>
      </c>
      <c r="G287">
        <v>13224.13</v>
      </c>
    </row>
    <row r="288" spans="1:7" x14ac:dyDescent="0.3">
      <c r="A288" t="s">
        <v>40</v>
      </c>
      <c r="B288" t="s">
        <v>48</v>
      </c>
      <c r="C288" t="s">
        <v>51</v>
      </c>
      <c r="D288">
        <v>123</v>
      </c>
      <c r="E288">
        <v>106.1188489880485</v>
      </c>
      <c r="F288">
        <v>13052.62</v>
      </c>
      <c r="G288">
        <v>1839.68</v>
      </c>
    </row>
    <row r="289" spans="1:7" x14ac:dyDescent="0.3">
      <c r="A289" t="s">
        <v>40</v>
      </c>
      <c r="B289" t="s">
        <v>48</v>
      </c>
      <c r="C289" t="s">
        <v>52</v>
      </c>
      <c r="D289">
        <v>335</v>
      </c>
      <c r="E289">
        <v>122.6629519991761</v>
      </c>
      <c r="F289">
        <v>41092.089999999997</v>
      </c>
      <c r="G289">
        <v>3942.31</v>
      </c>
    </row>
    <row r="290" spans="1:7" x14ac:dyDescent="0.3">
      <c r="A290" t="s">
        <v>41</v>
      </c>
      <c r="B290" t="s">
        <v>45</v>
      </c>
      <c r="C290" t="s">
        <v>49</v>
      </c>
      <c r="D290">
        <v>375</v>
      </c>
      <c r="E290">
        <v>184.5625992295418</v>
      </c>
      <c r="F290">
        <v>69210.97</v>
      </c>
      <c r="G290">
        <v>10665.37</v>
      </c>
    </row>
    <row r="291" spans="1:7" x14ac:dyDescent="0.3">
      <c r="A291" t="s">
        <v>41</v>
      </c>
      <c r="B291" t="s">
        <v>45</v>
      </c>
      <c r="C291" t="s">
        <v>50</v>
      </c>
      <c r="D291">
        <v>306</v>
      </c>
      <c r="E291">
        <v>125.2758588127426</v>
      </c>
      <c r="F291">
        <v>38334.410000000003</v>
      </c>
      <c r="G291">
        <v>7799.08</v>
      </c>
    </row>
    <row r="292" spans="1:7" x14ac:dyDescent="0.3">
      <c r="A292" t="s">
        <v>41</v>
      </c>
      <c r="B292" t="s">
        <v>45</v>
      </c>
      <c r="C292" t="s">
        <v>51</v>
      </c>
      <c r="D292">
        <v>70</v>
      </c>
      <c r="E292">
        <v>149.92440476869729</v>
      </c>
      <c r="F292">
        <v>10494.71</v>
      </c>
      <c r="G292">
        <v>1471.44</v>
      </c>
    </row>
    <row r="293" spans="1:7" x14ac:dyDescent="0.3">
      <c r="A293" t="s">
        <v>41</v>
      </c>
      <c r="B293" t="s">
        <v>45</v>
      </c>
      <c r="C293" t="s">
        <v>52</v>
      </c>
      <c r="D293">
        <v>424</v>
      </c>
      <c r="E293">
        <v>41.448896969785046</v>
      </c>
      <c r="F293">
        <v>17574.330000000002</v>
      </c>
      <c r="G293">
        <v>1888.96</v>
      </c>
    </row>
    <row r="294" spans="1:7" x14ac:dyDescent="0.3">
      <c r="A294" t="s">
        <v>41</v>
      </c>
      <c r="B294" t="s">
        <v>46</v>
      </c>
      <c r="C294" t="s">
        <v>49</v>
      </c>
      <c r="D294">
        <v>439</v>
      </c>
      <c r="E294">
        <v>33.685909428620697</v>
      </c>
      <c r="F294">
        <v>14788.11</v>
      </c>
      <c r="G294">
        <v>2377.54</v>
      </c>
    </row>
    <row r="295" spans="1:7" x14ac:dyDescent="0.3">
      <c r="A295" t="s">
        <v>41</v>
      </c>
      <c r="B295" t="s">
        <v>46</v>
      </c>
      <c r="C295" t="s">
        <v>50</v>
      </c>
      <c r="D295">
        <v>168</v>
      </c>
      <c r="E295">
        <v>82.068082693254283</v>
      </c>
      <c r="F295">
        <v>13787.44</v>
      </c>
      <c r="G295">
        <v>2488.34</v>
      </c>
    </row>
    <row r="296" spans="1:7" x14ac:dyDescent="0.3">
      <c r="A296" t="s">
        <v>41</v>
      </c>
      <c r="B296" t="s">
        <v>46</v>
      </c>
      <c r="C296" t="s">
        <v>51</v>
      </c>
      <c r="D296">
        <v>328</v>
      </c>
      <c r="E296">
        <v>73.687475912721169</v>
      </c>
      <c r="F296">
        <v>24169.49</v>
      </c>
      <c r="G296">
        <v>2894.49</v>
      </c>
    </row>
    <row r="297" spans="1:7" x14ac:dyDescent="0.3">
      <c r="A297" t="s">
        <v>41</v>
      </c>
      <c r="B297" t="s">
        <v>46</v>
      </c>
      <c r="C297" t="s">
        <v>52</v>
      </c>
      <c r="D297">
        <v>44</v>
      </c>
      <c r="E297">
        <v>174.06844671646181</v>
      </c>
      <c r="F297">
        <v>7659.01</v>
      </c>
      <c r="G297">
        <v>435.82</v>
      </c>
    </row>
    <row r="298" spans="1:7" x14ac:dyDescent="0.3">
      <c r="A298" t="s">
        <v>41</v>
      </c>
      <c r="B298" t="s">
        <v>47</v>
      </c>
      <c r="C298" t="s">
        <v>49</v>
      </c>
      <c r="D298">
        <v>313</v>
      </c>
      <c r="E298">
        <v>75.805738929532637</v>
      </c>
      <c r="F298">
        <v>23727.200000000001</v>
      </c>
      <c r="G298">
        <v>3924.54</v>
      </c>
    </row>
    <row r="299" spans="1:7" x14ac:dyDescent="0.3">
      <c r="A299" t="s">
        <v>41</v>
      </c>
      <c r="B299" t="s">
        <v>47</v>
      </c>
      <c r="C299" t="s">
        <v>50</v>
      </c>
      <c r="D299">
        <v>36</v>
      </c>
      <c r="E299">
        <v>121.54296258594781</v>
      </c>
      <c r="F299">
        <v>4375.55</v>
      </c>
      <c r="G299">
        <v>803.48</v>
      </c>
    </row>
    <row r="300" spans="1:7" x14ac:dyDescent="0.3">
      <c r="A300" t="s">
        <v>41</v>
      </c>
      <c r="B300" t="s">
        <v>47</v>
      </c>
      <c r="C300" t="s">
        <v>51</v>
      </c>
      <c r="D300">
        <v>462</v>
      </c>
      <c r="E300">
        <v>95.963508065211741</v>
      </c>
      <c r="F300">
        <v>44335.14</v>
      </c>
      <c r="G300">
        <v>7319.07</v>
      </c>
    </row>
    <row r="301" spans="1:7" x14ac:dyDescent="0.3">
      <c r="A301" t="s">
        <v>41</v>
      </c>
      <c r="B301" t="s">
        <v>47</v>
      </c>
      <c r="C301" t="s">
        <v>52</v>
      </c>
      <c r="D301">
        <v>474</v>
      </c>
      <c r="E301">
        <v>41.44753031131502</v>
      </c>
      <c r="F301">
        <v>19646.13</v>
      </c>
      <c r="G301">
        <v>2250.38</v>
      </c>
    </row>
    <row r="302" spans="1:7" x14ac:dyDescent="0.3">
      <c r="A302" t="s">
        <v>41</v>
      </c>
      <c r="B302" t="s">
        <v>48</v>
      </c>
      <c r="C302" t="s">
        <v>49</v>
      </c>
      <c r="D302">
        <v>363</v>
      </c>
      <c r="E302">
        <v>69.179902515223915</v>
      </c>
      <c r="F302">
        <v>25112.3</v>
      </c>
      <c r="G302">
        <v>2527.15</v>
      </c>
    </row>
    <row r="303" spans="1:7" x14ac:dyDescent="0.3">
      <c r="A303" t="s">
        <v>41</v>
      </c>
      <c r="B303" t="s">
        <v>48</v>
      </c>
      <c r="C303" t="s">
        <v>50</v>
      </c>
      <c r="D303">
        <v>173</v>
      </c>
      <c r="E303">
        <v>12.48794675178339</v>
      </c>
      <c r="F303">
        <v>2160.41</v>
      </c>
      <c r="G303">
        <v>417.21</v>
      </c>
    </row>
    <row r="304" spans="1:7" x14ac:dyDescent="0.3">
      <c r="A304" t="s">
        <v>41</v>
      </c>
      <c r="B304" t="s">
        <v>48</v>
      </c>
      <c r="C304" t="s">
        <v>51</v>
      </c>
      <c r="D304">
        <v>488</v>
      </c>
      <c r="E304">
        <v>107.88299965729441</v>
      </c>
      <c r="F304">
        <v>52646.9</v>
      </c>
      <c r="G304">
        <v>7594.8</v>
      </c>
    </row>
    <row r="305" spans="1:7" x14ac:dyDescent="0.3">
      <c r="A305" t="s">
        <v>41</v>
      </c>
      <c r="B305" t="s">
        <v>48</v>
      </c>
      <c r="C305" t="s">
        <v>52</v>
      </c>
      <c r="D305">
        <v>167</v>
      </c>
      <c r="E305">
        <v>88.778583508134503</v>
      </c>
      <c r="F305">
        <v>14826.02</v>
      </c>
      <c r="G305">
        <v>1535.81</v>
      </c>
    </row>
    <row r="306" spans="1:7" x14ac:dyDescent="0.3">
      <c r="A306" t="s">
        <v>42</v>
      </c>
      <c r="B306" t="s">
        <v>45</v>
      </c>
      <c r="C306" t="s">
        <v>49</v>
      </c>
      <c r="D306">
        <v>495</v>
      </c>
      <c r="E306">
        <v>111.6632465973951</v>
      </c>
      <c r="F306">
        <v>55273.31</v>
      </c>
      <c r="G306">
        <v>6546.22</v>
      </c>
    </row>
    <row r="307" spans="1:7" x14ac:dyDescent="0.3">
      <c r="A307" t="s">
        <v>42</v>
      </c>
      <c r="B307" t="s">
        <v>45</v>
      </c>
      <c r="C307" t="s">
        <v>50</v>
      </c>
      <c r="D307">
        <v>243</v>
      </c>
      <c r="E307">
        <v>22.744530703801221</v>
      </c>
      <c r="F307">
        <v>5526.92</v>
      </c>
      <c r="G307">
        <v>949.46</v>
      </c>
    </row>
    <row r="308" spans="1:7" x14ac:dyDescent="0.3">
      <c r="A308" t="s">
        <v>42</v>
      </c>
      <c r="B308" t="s">
        <v>45</v>
      </c>
      <c r="C308" t="s">
        <v>51</v>
      </c>
      <c r="D308">
        <v>234</v>
      </c>
      <c r="E308">
        <v>91.089892013982393</v>
      </c>
      <c r="F308">
        <v>21315.03</v>
      </c>
      <c r="G308">
        <v>3168.62</v>
      </c>
    </row>
    <row r="309" spans="1:7" x14ac:dyDescent="0.3">
      <c r="A309" t="s">
        <v>42</v>
      </c>
      <c r="B309" t="s">
        <v>45</v>
      </c>
      <c r="C309" t="s">
        <v>52</v>
      </c>
      <c r="D309">
        <v>177</v>
      </c>
      <c r="E309">
        <v>46.230666926096653</v>
      </c>
      <c r="F309">
        <v>8182.83</v>
      </c>
      <c r="G309">
        <v>1084.8599999999999</v>
      </c>
    </row>
    <row r="310" spans="1:7" x14ac:dyDescent="0.3">
      <c r="A310" t="s">
        <v>42</v>
      </c>
      <c r="B310" t="s">
        <v>46</v>
      </c>
      <c r="C310" t="s">
        <v>49</v>
      </c>
      <c r="D310">
        <v>448</v>
      </c>
      <c r="E310">
        <v>81.767930013632167</v>
      </c>
      <c r="F310">
        <v>36632.03</v>
      </c>
      <c r="G310">
        <v>4251.59</v>
      </c>
    </row>
    <row r="311" spans="1:7" x14ac:dyDescent="0.3">
      <c r="A311" t="s">
        <v>42</v>
      </c>
      <c r="B311" t="s">
        <v>46</v>
      </c>
      <c r="C311" t="s">
        <v>50</v>
      </c>
      <c r="D311">
        <v>276</v>
      </c>
      <c r="E311">
        <v>157.35024717205201</v>
      </c>
      <c r="F311">
        <v>43428.67</v>
      </c>
      <c r="G311">
        <v>8396.07</v>
      </c>
    </row>
    <row r="312" spans="1:7" x14ac:dyDescent="0.3">
      <c r="A312" t="s">
        <v>42</v>
      </c>
      <c r="B312" t="s">
        <v>46</v>
      </c>
      <c r="C312" t="s">
        <v>51</v>
      </c>
      <c r="D312">
        <v>194</v>
      </c>
      <c r="E312">
        <v>110.2530687275093</v>
      </c>
      <c r="F312">
        <v>21389.1</v>
      </c>
      <c r="G312">
        <v>2337.9699999999998</v>
      </c>
    </row>
    <row r="313" spans="1:7" x14ac:dyDescent="0.3">
      <c r="A313" t="s">
        <v>42</v>
      </c>
      <c r="B313" t="s">
        <v>46</v>
      </c>
      <c r="C313" t="s">
        <v>52</v>
      </c>
      <c r="D313">
        <v>241</v>
      </c>
      <c r="E313">
        <v>116.3316629485614</v>
      </c>
      <c r="F313">
        <v>28035.93</v>
      </c>
      <c r="G313">
        <v>4091.02</v>
      </c>
    </row>
    <row r="314" spans="1:7" x14ac:dyDescent="0.3">
      <c r="A314" t="s">
        <v>42</v>
      </c>
      <c r="B314" t="s">
        <v>47</v>
      </c>
      <c r="C314" t="s">
        <v>49</v>
      </c>
      <c r="D314">
        <v>338</v>
      </c>
      <c r="E314">
        <v>29.566481072949951</v>
      </c>
      <c r="F314">
        <v>9993.4699999999993</v>
      </c>
      <c r="G314">
        <v>1285.6199999999999</v>
      </c>
    </row>
    <row r="315" spans="1:7" x14ac:dyDescent="0.3">
      <c r="A315" t="s">
        <v>42</v>
      </c>
      <c r="B315" t="s">
        <v>47</v>
      </c>
      <c r="C315" t="s">
        <v>50</v>
      </c>
      <c r="D315">
        <v>150</v>
      </c>
      <c r="E315">
        <v>80.928770093153062</v>
      </c>
      <c r="F315">
        <v>12139.32</v>
      </c>
      <c r="G315">
        <v>2374.08</v>
      </c>
    </row>
    <row r="316" spans="1:7" x14ac:dyDescent="0.3">
      <c r="A316" t="s">
        <v>42</v>
      </c>
      <c r="B316" t="s">
        <v>47</v>
      </c>
      <c r="C316" t="s">
        <v>51</v>
      </c>
      <c r="D316">
        <v>477</v>
      </c>
      <c r="E316">
        <v>180.51177786558799</v>
      </c>
      <c r="F316">
        <v>86104.12</v>
      </c>
      <c r="G316">
        <v>17074.38</v>
      </c>
    </row>
    <row r="317" spans="1:7" x14ac:dyDescent="0.3">
      <c r="A317" t="s">
        <v>42</v>
      </c>
      <c r="B317" t="s">
        <v>47</v>
      </c>
      <c r="C317" t="s">
        <v>52</v>
      </c>
      <c r="D317">
        <v>74</v>
      </c>
      <c r="E317">
        <v>39.668993499576167</v>
      </c>
      <c r="F317">
        <v>2935.51</v>
      </c>
      <c r="G317">
        <v>359.6</v>
      </c>
    </row>
    <row r="318" spans="1:7" x14ac:dyDescent="0.3">
      <c r="A318" t="s">
        <v>42</v>
      </c>
      <c r="B318" t="s">
        <v>48</v>
      </c>
      <c r="C318" t="s">
        <v>49</v>
      </c>
      <c r="D318">
        <v>197</v>
      </c>
      <c r="E318">
        <v>174.7288144021895</v>
      </c>
      <c r="F318">
        <v>34421.58</v>
      </c>
      <c r="G318">
        <v>4799.8900000000003</v>
      </c>
    </row>
    <row r="319" spans="1:7" x14ac:dyDescent="0.3">
      <c r="A319" t="s">
        <v>42</v>
      </c>
      <c r="B319" t="s">
        <v>48</v>
      </c>
      <c r="C319" t="s">
        <v>50</v>
      </c>
      <c r="D319">
        <v>342</v>
      </c>
      <c r="E319">
        <v>53.904211351733572</v>
      </c>
      <c r="F319">
        <v>18435.240000000002</v>
      </c>
      <c r="G319">
        <v>2424.48</v>
      </c>
    </row>
    <row r="320" spans="1:7" x14ac:dyDescent="0.3">
      <c r="A320" t="s">
        <v>42</v>
      </c>
      <c r="B320" t="s">
        <v>48</v>
      </c>
      <c r="C320" t="s">
        <v>51</v>
      </c>
      <c r="D320">
        <v>462</v>
      </c>
      <c r="E320">
        <v>106.0464970301464</v>
      </c>
      <c r="F320">
        <v>48993.48</v>
      </c>
      <c r="G320">
        <v>5429.94</v>
      </c>
    </row>
    <row r="321" spans="1:7" x14ac:dyDescent="0.3">
      <c r="A321" t="s">
        <v>42</v>
      </c>
      <c r="B321" t="s">
        <v>48</v>
      </c>
      <c r="C321" t="s">
        <v>52</v>
      </c>
      <c r="D321">
        <v>248</v>
      </c>
      <c r="E321">
        <v>43.923485790323383</v>
      </c>
      <c r="F321">
        <v>10893.02</v>
      </c>
      <c r="G321">
        <v>1254.95</v>
      </c>
    </row>
    <row r="322" spans="1:7" x14ac:dyDescent="0.3">
      <c r="A322" t="s">
        <v>43</v>
      </c>
      <c r="B322" t="s">
        <v>45</v>
      </c>
      <c r="C322" t="s">
        <v>49</v>
      </c>
      <c r="D322">
        <v>116</v>
      </c>
      <c r="E322">
        <v>115.7771011088396</v>
      </c>
      <c r="F322">
        <v>13430.14</v>
      </c>
      <c r="G322">
        <v>1977.44</v>
      </c>
    </row>
    <row r="323" spans="1:7" x14ac:dyDescent="0.3">
      <c r="A323" t="s">
        <v>43</v>
      </c>
      <c r="B323" t="s">
        <v>45</v>
      </c>
      <c r="C323" t="s">
        <v>50</v>
      </c>
      <c r="D323">
        <v>107</v>
      </c>
      <c r="E323">
        <v>147.23071705257519</v>
      </c>
      <c r="F323">
        <v>15753.69</v>
      </c>
      <c r="G323">
        <v>3189.62</v>
      </c>
    </row>
    <row r="324" spans="1:7" x14ac:dyDescent="0.3">
      <c r="A324" t="s">
        <v>43</v>
      </c>
      <c r="B324" t="s">
        <v>45</v>
      </c>
      <c r="C324" t="s">
        <v>51</v>
      </c>
      <c r="D324">
        <v>139</v>
      </c>
      <c r="E324">
        <v>163.30152830289131</v>
      </c>
      <c r="F324">
        <v>22698.91</v>
      </c>
      <c r="G324">
        <v>3506.61</v>
      </c>
    </row>
    <row r="325" spans="1:7" x14ac:dyDescent="0.3">
      <c r="A325" t="s">
        <v>43</v>
      </c>
      <c r="B325" t="s">
        <v>45</v>
      </c>
      <c r="C325" t="s">
        <v>52</v>
      </c>
      <c r="D325">
        <v>330</v>
      </c>
      <c r="E325">
        <v>180.3038055190128</v>
      </c>
      <c r="F325">
        <v>59500.26</v>
      </c>
      <c r="G325">
        <v>5286.56</v>
      </c>
    </row>
    <row r="326" spans="1:7" x14ac:dyDescent="0.3">
      <c r="A326" t="s">
        <v>43</v>
      </c>
      <c r="B326" t="s">
        <v>46</v>
      </c>
      <c r="C326" t="s">
        <v>49</v>
      </c>
      <c r="D326">
        <v>26</v>
      </c>
      <c r="E326">
        <v>130.3157472330825</v>
      </c>
      <c r="F326">
        <v>3388.21</v>
      </c>
      <c r="G326">
        <v>419.38</v>
      </c>
    </row>
    <row r="327" spans="1:7" x14ac:dyDescent="0.3">
      <c r="A327" t="s">
        <v>43</v>
      </c>
      <c r="B327" t="s">
        <v>46</v>
      </c>
      <c r="C327" t="s">
        <v>50</v>
      </c>
      <c r="D327">
        <v>131</v>
      </c>
      <c r="E327">
        <v>44.472732667061493</v>
      </c>
      <c r="F327">
        <v>5825.93</v>
      </c>
      <c r="G327">
        <v>1044.8</v>
      </c>
    </row>
    <row r="328" spans="1:7" x14ac:dyDescent="0.3">
      <c r="A328" t="s">
        <v>43</v>
      </c>
      <c r="B328" t="s">
        <v>46</v>
      </c>
      <c r="C328" t="s">
        <v>51</v>
      </c>
      <c r="D328">
        <v>55</v>
      </c>
      <c r="E328">
        <v>132.1558570867081</v>
      </c>
      <c r="F328">
        <v>7268.57</v>
      </c>
      <c r="G328">
        <v>1094.27</v>
      </c>
    </row>
    <row r="329" spans="1:7" x14ac:dyDescent="0.3">
      <c r="A329" t="s">
        <v>43</v>
      </c>
      <c r="B329" t="s">
        <v>46</v>
      </c>
      <c r="C329" t="s">
        <v>52</v>
      </c>
      <c r="D329">
        <v>216</v>
      </c>
      <c r="E329">
        <v>74.945296822596433</v>
      </c>
      <c r="F329">
        <v>16188.18</v>
      </c>
      <c r="G329">
        <v>1541.74</v>
      </c>
    </row>
    <row r="330" spans="1:7" x14ac:dyDescent="0.3">
      <c r="A330" t="s">
        <v>43</v>
      </c>
      <c r="B330" t="s">
        <v>47</v>
      </c>
      <c r="C330" t="s">
        <v>49</v>
      </c>
      <c r="D330">
        <v>253</v>
      </c>
      <c r="E330">
        <v>166.77039297030541</v>
      </c>
      <c r="F330">
        <v>42192.91</v>
      </c>
      <c r="G330">
        <v>5629.1</v>
      </c>
    </row>
    <row r="331" spans="1:7" x14ac:dyDescent="0.3">
      <c r="A331" t="s">
        <v>43</v>
      </c>
      <c r="B331" t="s">
        <v>47</v>
      </c>
      <c r="C331" t="s">
        <v>50</v>
      </c>
      <c r="D331">
        <v>39</v>
      </c>
      <c r="E331">
        <v>128.58829249133549</v>
      </c>
      <c r="F331">
        <v>5014.9399999999996</v>
      </c>
      <c r="G331">
        <v>993.28</v>
      </c>
    </row>
    <row r="332" spans="1:7" x14ac:dyDescent="0.3">
      <c r="A332" t="s">
        <v>43</v>
      </c>
      <c r="B332" t="s">
        <v>47</v>
      </c>
      <c r="C332" t="s">
        <v>51</v>
      </c>
      <c r="D332">
        <v>441</v>
      </c>
      <c r="E332">
        <v>157.02855940825469</v>
      </c>
      <c r="F332">
        <v>69249.59</v>
      </c>
      <c r="G332">
        <v>13087.78</v>
      </c>
    </row>
    <row r="333" spans="1:7" x14ac:dyDescent="0.3">
      <c r="A333" t="s">
        <v>43</v>
      </c>
      <c r="B333" t="s">
        <v>47</v>
      </c>
      <c r="C333" t="s">
        <v>52</v>
      </c>
      <c r="D333">
        <v>374</v>
      </c>
      <c r="E333">
        <v>190.2061283228098</v>
      </c>
      <c r="F333">
        <v>71137.09</v>
      </c>
      <c r="G333">
        <v>8022.86</v>
      </c>
    </row>
    <row r="334" spans="1:7" x14ac:dyDescent="0.3">
      <c r="A334" t="s">
        <v>43</v>
      </c>
      <c r="B334" t="s">
        <v>48</v>
      </c>
      <c r="C334" t="s">
        <v>49</v>
      </c>
      <c r="D334">
        <v>361</v>
      </c>
      <c r="E334">
        <v>158.15416720972581</v>
      </c>
      <c r="F334">
        <v>57093.65</v>
      </c>
      <c r="G334">
        <v>6755.79</v>
      </c>
    </row>
    <row r="335" spans="1:7" x14ac:dyDescent="0.3">
      <c r="A335" t="s">
        <v>43</v>
      </c>
      <c r="B335" t="s">
        <v>48</v>
      </c>
      <c r="C335" t="s">
        <v>50</v>
      </c>
      <c r="D335">
        <v>78</v>
      </c>
      <c r="E335">
        <v>179.96492310987739</v>
      </c>
      <c r="F335">
        <v>14037.26</v>
      </c>
      <c r="G335">
        <v>2182.52</v>
      </c>
    </row>
    <row r="336" spans="1:7" x14ac:dyDescent="0.3">
      <c r="A336" t="s">
        <v>43</v>
      </c>
      <c r="B336" t="s">
        <v>48</v>
      </c>
      <c r="C336" t="s">
        <v>51</v>
      </c>
      <c r="D336">
        <v>147</v>
      </c>
      <c r="E336">
        <v>44.600356376100819</v>
      </c>
      <c r="F336">
        <v>6556.25</v>
      </c>
      <c r="G336">
        <v>1249.42</v>
      </c>
    </row>
    <row r="337" spans="1:7" x14ac:dyDescent="0.3">
      <c r="A337" t="s">
        <v>43</v>
      </c>
      <c r="B337" t="s">
        <v>48</v>
      </c>
      <c r="C337" t="s">
        <v>52</v>
      </c>
      <c r="D337">
        <v>28</v>
      </c>
      <c r="E337">
        <v>112.91050078556469</v>
      </c>
      <c r="F337">
        <v>3161.49</v>
      </c>
      <c r="G337">
        <v>124.31</v>
      </c>
    </row>
    <row r="338" spans="1:7" x14ac:dyDescent="0.3">
      <c r="A338" t="s">
        <v>44</v>
      </c>
      <c r="B338" t="s">
        <v>45</v>
      </c>
      <c r="C338" t="s">
        <v>49</v>
      </c>
      <c r="D338">
        <v>256</v>
      </c>
      <c r="E338">
        <v>86.484508283426308</v>
      </c>
      <c r="F338">
        <v>22140.03</v>
      </c>
      <c r="G338">
        <v>3151.58</v>
      </c>
    </row>
    <row r="339" spans="1:7" x14ac:dyDescent="0.3">
      <c r="A339" t="s">
        <v>44</v>
      </c>
      <c r="B339" t="s">
        <v>45</v>
      </c>
      <c r="C339" t="s">
        <v>50</v>
      </c>
      <c r="D339">
        <v>23</v>
      </c>
      <c r="E339">
        <v>35.132480113812782</v>
      </c>
      <c r="F339">
        <v>808.05</v>
      </c>
      <c r="G339">
        <v>134.13</v>
      </c>
    </row>
    <row r="340" spans="1:7" x14ac:dyDescent="0.3">
      <c r="A340" t="s">
        <v>44</v>
      </c>
      <c r="B340" t="s">
        <v>45</v>
      </c>
      <c r="C340" t="s">
        <v>51</v>
      </c>
      <c r="D340">
        <v>48</v>
      </c>
      <c r="E340">
        <v>42.619064311177667</v>
      </c>
      <c r="F340">
        <v>2045.72</v>
      </c>
      <c r="G340">
        <v>260.64</v>
      </c>
    </row>
    <row r="341" spans="1:7" x14ac:dyDescent="0.3">
      <c r="A341" t="s">
        <v>44</v>
      </c>
      <c r="B341" t="s">
        <v>45</v>
      </c>
      <c r="C341" t="s">
        <v>52</v>
      </c>
      <c r="D341">
        <v>36</v>
      </c>
      <c r="E341">
        <v>86.997136725260859</v>
      </c>
      <c r="F341">
        <v>3131.9</v>
      </c>
      <c r="G341">
        <v>379.08</v>
      </c>
    </row>
    <row r="342" spans="1:7" x14ac:dyDescent="0.3">
      <c r="A342" t="s">
        <v>44</v>
      </c>
      <c r="B342" t="s">
        <v>46</v>
      </c>
      <c r="C342" t="s">
        <v>49</v>
      </c>
      <c r="D342">
        <v>397</v>
      </c>
      <c r="E342">
        <v>146.83849051013621</v>
      </c>
      <c r="F342">
        <v>58294.879999999997</v>
      </c>
      <c r="G342">
        <v>5364.53</v>
      </c>
    </row>
    <row r="343" spans="1:7" x14ac:dyDescent="0.3">
      <c r="A343" t="s">
        <v>44</v>
      </c>
      <c r="B343" t="s">
        <v>46</v>
      </c>
      <c r="C343" t="s">
        <v>50</v>
      </c>
      <c r="D343">
        <v>238</v>
      </c>
      <c r="E343">
        <v>123.5084894123586</v>
      </c>
      <c r="F343">
        <v>29395.02</v>
      </c>
      <c r="G343">
        <v>4462.38</v>
      </c>
    </row>
    <row r="344" spans="1:7" x14ac:dyDescent="0.3">
      <c r="A344" t="s">
        <v>44</v>
      </c>
      <c r="B344" t="s">
        <v>46</v>
      </c>
      <c r="C344" t="s">
        <v>51</v>
      </c>
      <c r="D344">
        <v>287</v>
      </c>
      <c r="E344">
        <v>130.28863203791499</v>
      </c>
      <c r="F344">
        <v>37392.839999999997</v>
      </c>
      <c r="G344">
        <v>7299.65</v>
      </c>
    </row>
    <row r="345" spans="1:7" x14ac:dyDescent="0.3">
      <c r="A345" t="s">
        <v>44</v>
      </c>
      <c r="B345" t="s">
        <v>46</v>
      </c>
      <c r="C345" t="s">
        <v>52</v>
      </c>
      <c r="D345">
        <v>420</v>
      </c>
      <c r="E345">
        <v>89.566399729493895</v>
      </c>
      <c r="F345">
        <v>37617.89</v>
      </c>
      <c r="G345">
        <v>3223.34</v>
      </c>
    </row>
    <row r="346" spans="1:7" x14ac:dyDescent="0.3">
      <c r="A346" t="s">
        <v>44</v>
      </c>
      <c r="B346" t="s">
        <v>47</v>
      </c>
      <c r="C346" t="s">
        <v>49</v>
      </c>
      <c r="D346">
        <v>495</v>
      </c>
      <c r="E346">
        <v>156.47316164221141</v>
      </c>
      <c r="F346">
        <v>77454.22</v>
      </c>
      <c r="G346">
        <v>7970.37</v>
      </c>
    </row>
    <row r="347" spans="1:7" x14ac:dyDescent="0.3">
      <c r="A347" t="s">
        <v>44</v>
      </c>
      <c r="B347" t="s">
        <v>47</v>
      </c>
      <c r="C347" t="s">
        <v>50</v>
      </c>
      <c r="D347">
        <v>329</v>
      </c>
      <c r="E347">
        <v>150.22638712101039</v>
      </c>
      <c r="F347">
        <v>49424.480000000003</v>
      </c>
      <c r="G347">
        <v>8906.7000000000007</v>
      </c>
    </row>
    <row r="348" spans="1:7" x14ac:dyDescent="0.3">
      <c r="A348" t="s">
        <v>44</v>
      </c>
      <c r="B348" t="s">
        <v>47</v>
      </c>
      <c r="C348" t="s">
        <v>51</v>
      </c>
      <c r="D348">
        <v>326</v>
      </c>
      <c r="E348">
        <v>27.1640225097455</v>
      </c>
      <c r="F348">
        <v>8855.4699999999993</v>
      </c>
      <c r="G348">
        <v>1465.58</v>
      </c>
    </row>
    <row r="349" spans="1:7" x14ac:dyDescent="0.3">
      <c r="A349" t="s">
        <v>44</v>
      </c>
      <c r="B349" t="s">
        <v>47</v>
      </c>
      <c r="C349" t="s">
        <v>52</v>
      </c>
      <c r="D349">
        <v>183</v>
      </c>
      <c r="E349">
        <v>146.6187219850066</v>
      </c>
      <c r="F349">
        <v>26831.23</v>
      </c>
      <c r="G349">
        <v>3867.77</v>
      </c>
    </row>
    <row r="350" spans="1:7" x14ac:dyDescent="0.3">
      <c r="A350" t="s">
        <v>44</v>
      </c>
      <c r="B350" t="s">
        <v>48</v>
      </c>
      <c r="C350" t="s">
        <v>49</v>
      </c>
      <c r="D350">
        <v>314</v>
      </c>
      <c r="E350">
        <v>125.9768867315119</v>
      </c>
      <c r="F350">
        <v>39556.74</v>
      </c>
      <c r="G350">
        <v>4448</v>
      </c>
    </row>
    <row r="351" spans="1:7" x14ac:dyDescent="0.3">
      <c r="A351" t="s">
        <v>44</v>
      </c>
      <c r="B351" t="s">
        <v>48</v>
      </c>
      <c r="C351" t="s">
        <v>50</v>
      </c>
      <c r="D351">
        <v>171</v>
      </c>
      <c r="E351">
        <v>187.99765047170399</v>
      </c>
      <c r="F351">
        <v>32147.599999999999</v>
      </c>
      <c r="G351">
        <v>5982.76</v>
      </c>
    </row>
    <row r="352" spans="1:7" x14ac:dyDescent="0.3">
      <c r="A352" t="s">
        <v>44</v>
      </c>
      <c r="B352" t="s">
        <v>48</v>
      </c>
      <c r="C352" t="s">
        <v>51</v>
      </c>
      <c r="D352">
        <v>88</v>
      </c>
      <c r="E352">
        <v>101.9134389671584</v>
      </c>
      <c r="F352">
        <v>8968.3799999999992</v>
      </c>
      <c r="G352">
        <v>1353.82</v>
      </c>
    </row>
    <row r="353" spans="1:7" x14ac:dyDescent="0.3">
      <c r="A353" t="s">
        <v>44</v>
      </c>
      <c r="B353" t="s">
        <v>48</v>
      </c>
      <c r="C353" t="s">
        <v>52</v>
      </c>
      <c r="D353">
        <v>486</v>
      </c>
      <c r="E353">
        <v>123.06480683304839</v>
      </c>
      <c r="F353">
        <v>59809.5</v>
      </c>
      <c r="G353">
        <v>3625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F30B-5702-428F-85DC-8D4497938125}">
  <dimension ref="A2:I61"/>
  <sheetViews>
    <sheetView tabSelected="1" workbookViewId="0">
      <selection activeCell="G13" sqref="G13"/>
    </sheetView>
  </sheetViews>
  <sheetFormatPr defaultRowHeight="14.4" x14ac:dyDescent="0.3"/>
  <cols>
    <col min="1" max="1" width="14.88671875" bestFit="1" customWidth="1"/>
    <col min="2" max="2" width="15.5546875" bestFit="1" customWidth="1"/>
    <col min="3" max="5" width="7" bestFit="1" customWidth="1"/>
    <col min="6" max="6" width="10.77734375" bestFit="1" customWidth="1"/>
    <col min="7" max="7" width="12.5546875" bestFit="1" customWidth="1"/>
    <col min="8" max="8" width="14.88671875" bestFit="1" customWidth="1"/>
    <col min="9" max="9" width="12.109375" bestFit="1" customWidth="1"/>
    <col min="10" max="10" width="8.44140625" bestFit="1" customWidth="1"/>
    <col min="11" max="12" width="7.88671875" bestFit="1" customWidth="1"/>
    <col min="13" max="14" width="8.5546875" bestFit="1" customWidth="1"/>
    <col min="15" max="16" width="9.109375" bestFit="1" customWidth="1"/>
    <col min="17" max="18" width="9.44140625" bestFit="1" customWidth="1"/>
    <col min="19" max="19" width="9.109375" bestFit="1" customWidth="1"/>
    <col min="20" max="21" width="8.5546875" bestFit="1" customWidth="1"/>
    <col min="22" max="23" width="8.77734375" bestFit="1" customWidth="1"/>
    <col min="24" max="24" width="10.77734375" bestFit="1" customWidth="1"/>
    <col min="25" max="26" width="8" bestFit="1" customWidth="1"/>
    <col min="27" max="27" width="7" bestFit="1" customWidth="1"/>
    <col min="28" max="35" width="8" bestFit="1" customWidth="1"/>
    <col min="36" max="36" width="7" bestFit="1" customWidth="1"/>
    <col min="37" max="61" width="8" bestFit="1" customWidth="1"/>
    <col min="62" max="62" width="7" bestFit="1" customWidth="1"/>
    <col min="63" max="92" width="8" bestFit="1" customWidth="1"/>
    <col min="93" max="93" width="7" bestFit="1" customWidth="1"/>
    <col min="94" max="96" width="8" bestFit="1" customWidth="1"/>
    <col min="97" max="97" width="9" bestFit="1" customWidth="1"/>
    <col min="98" max="98" width="8" bestFit="1" customWidth="1"/>
    <col min="99" max="111" width="9" bestFit="1" customWidth="1"/>
    <col min="112" max="112" width="8" bestFit="1" customWidth="1"/>
    <col min="113" max="124" width="9" bestFit="1" customWidth="1"/>
    <col min="125" max="125" width="8" bestFit="1" customWidth="1"/>
    <col min="126" max="131" width="9" bestFit="1" customWidth="1"/>
    <col min="132" max="132" width="8" bestFit="1" customWidth="1"/>
    <col min="133" max="138" width="9" bestFit="1" customWidth="1"/>
    <col min="139" max="139" width="8" bestFit="1" customWidth="1"/>
    <col min="140" max="147" width="9" bestFit="1" customWidth="1"/>
    <col min="148" max="148" width="8" bestFit="1" customWidth="1"/>
    <col min="149" max="176" width="9" bestFit="1" customWidth="1"/>
    <col min="177" max="177" width="8" bestFit="1" customWidth="1"/>
    <col min="178" max="182" width="9" bestFit="1" customWidth="1"/>
    <col min="183" max="183" width="8" bestFit="1" customWidth="1"/>
    <col min="184" max="190" width="9" bestFit="1" customWidth="1"/>
    <col min="191" max="191" width="8" bestFit="1" customWidth="1"/>
    <col min="192" max="195" width="9" bestFit="1" customWidth="1"/>
    <col min="196" max="196" width="8" bestFit="1" customWidth="1"/>
    <col min="197" max="200" width="9" bestFit="1" customWidth="1"/>
    <col min="201" max="203" width="8" bestFit="1" customWidth="1"/>
    <col min="204" max="232" width="9" bestFit="1" customWidth="1"/>
    <col min="233" max="234" width="8" bestFit="1" customWidth="1"/>
    <col min="235" max="270" width="9" bestFit="1" customWidth="1"/>
    <col min="271" max="271" width="8" bestFit="1" customWidth="1"/>
    <col min="272" max="276" width="9" bestFit="1" customWidth="1"/>
    <col min="277" max="277" width="8" bestFit="1" customWidth="1"/>
    <col min="278" max="293" width="9" bestFit="1" customWidth="1"/>
    <col min="294" max="295" width="8" bestFit="1" customWidth="1"/>
    <col min="296" max="299" width="9" bestFit="1" customWidth="1"/>
    <col min="300" max="300" width="8" bestFit="1" customWidth="1"/>
    <col min="301" max="301" width="6" bestFit="1" customWidth="1"/>
    <col min="302" max="326" width="9" bestFit="1" customWidth="1"/>
    <col min="327" max="327" width="8" bestFit="1" customWidth="1"/>
    <col min="328" max="338" width="9" bestFit="1" customWidth="1"/>
    <col min="339" max="339" width="8" bestFit="1" customWidth="1"/>
    <col min="340" max="357" width="9" bestFit="1" customWidth="1"/>
    <col min="358" max="358" width="10.77734375" bestFit="1" customWidth="1"/>
  </cols>
  <sheetData>
    <row r="2" spans="1:9" x14ac:dyDescent="0.3">
      <c r="A2" t="s">
        <v>53</v>
      </c>
      <c r="C2" t="s">
        <v>54</v>
      </c>
      <c r="E2" t="s">
        <v>61</v>
      </c>
    </row>
    <row r="3" spans="1:9" x14ac:dyDescent="0.3">
      <c r="A3" t="s">
        <v>58</v>
      </c>
      <c r="C3" t="s">
        <v>59</v>
      </c>
      <c r="E3" s="3" t="s">
        <v>56</v>
      </c>
      <c r="F3" t="s">
        <v>60</v>
      </c>
      <c r="G3" t="s">
        <v>62</v>
      </c>
    </row>
    <row r="4" spans="1:9" x14ac:dyDescent="0.3">
      <c r="A4" s="5">
        <v>608010.64999999991</v>
      </c>
      <c r="C4" s="5">
        <v>291405.6700000001</v>
      </c>
      <c r="E4" s="4" t="s">
        <v>49</v>
      </c>
      <c r="F4" s="5">
        <v>3311.4280681818195</v>
      </c>
      <c r="G4" s="5">
        <v>27078.958977272738</v>
      </c>
      <c r="H4" s="6">
        <f>GETPIVOTDATA("Average of Profit",$E$3,"Product","Product A")/GETPIVOTDATA("Average of Revenue",$E$3,"Product","Product A")</f>
        <v>0.12228786457267755</v>
      </c>
    </row>
    <row r="5" spans="1:9" x14ac:dyDescent="0.3">
      <c r="E5" s="4" t="s">
        <v>57</v>
      </c>
      <c r="F5" s="5">
        <v>3311.4280681818195</v>
      </c>
      <c r="G5" s="5">
        <v>27078.958977272738</v>
      </c>
      <c r="H5" s="6" t="e">
        <f>GETPIVOTDATA("Average of Profit",$E$3,"Product","Product B")/GETPIVOTDATA("Average of Revenue",$E$3,"Product","Product B")</f>
        <v>#REF!</v>
      </c>
    </row>
    <row r="6" spans="1:9" x14ac:dyDescent="0.3">
      <c r="H6" s="6" t="e">
        <f>GETPIVOTDATA("Average of Profit",$E$3,"Product","Product C")/GETPIVOTDATA("Average of Revenue",$E$3,"Product","Product C")</f>
        <v>#REF!</v>
      </c>
    </row>
    <row r="7" spans="1:9" x14ac:dyDescent="0.3">
      <c r="H7" s="6" t="e">
        <f>GETPIVOTDATA("Average of Profit",$E$3,"Product","Product D")/GETPIVOTDATA("Average of Revenue",$E$3,"Product","Product D")</f>
        <v>#REF!</v>
      </c>
    </row>
    <row r="8" spans="1:9" x14ac:dyDescent="0.3">
      <c r="H8" s="7">
        <f>GETPIVOTDATA("Average of Profit",$E$3)/GETPIVOTDATA("Average of Revenue",$E$3)</f>
        <v>0.12228786457267755</v>
      </c>
    </row>
    <row r="10" spans="1:9" x14ac:dyDescent="0.3">
      <c r="A10" t="s">
        <v>63</v>
      </c>
    </row>
    <row r="11" spans="1:9" x14ac:dyDescent="0.3">
      <c r="A11" s="3" t="s">
        <v>56</v>
      </c>
      <c r="B11" t="s">
        <v>58</v>
      </c>
      <c r="C11" t="s">
        <v>59</v>
      </c>
      <c r="G11" t="s">
        <v>64</v>
      </c>
    </row>
    <row r="12" spans="1:9" x14ac:dyDescent="0.3">
      <c r="A12" s="4" t="s">
        <v>26</v>
      </c>
      <c r="B12" s="5">
        <v>147483.81</v>
      </c>
      <c r="C12" s="5">
        <v>17920.990000000002</v>
      </c>
      <c r="G12" s="3" t="s">
        <v>56</v>
      </c>
      <c r="H12" t="s">
        <v>58</v>
      </c>
      <c r="I12" t="s">
        <v>59</v>
      </c>
    </row>
    <row r="13" spans="1:9" x14ac:dyDescent="0.3">
      <c r="A13" s="4" t="s">
        <v>38</v>
      </c>
      <c r="B13" s="5">
        <v>83509.279999999999</v>
      </c>
      <c r="C13" s="5">
        <v>10413.320000000002</v>
      </c>
      <c r="G13" s="4" t="s">
        <v>47</v>
      </c>
      <c r="H13" s="5">
        <v>608010.65</v>
      </c>
      <c r="I13" s="5">
        <v>85653.04</v>
      </c>
    </row>
    <row r="14" spans="1:9" x14ac:dyDescent="0.3">
      <c r="A14" s="4" t="s">
        <v>30</v>
      </c>
      <c r="B14" s="5">
        <v>90029.16</v>
      </c>
      <c r="C14" s="5">
        <v>9909.66</v>
      </c>
      <c r="G14" s="4" t="s">
        <v>45</v>
      </c>
      <c r="H14" s="5">
        <v>555280.57999999996</v>
      </c>
      <c r="I14" s="5">
        <v>71688.549999999988</v>
      </c>
    </row>
    <row r="15" spans="1:9" x14ac:dyDescent="0.3">
      <c r="A15" s="4" t="s">
        <v>42</v>
      </c>
      <c r="B15" s="5">
        <v>136320.39000000001</v>
      </c>
      <c r="C15" s="5">
        <v>16883.32</v>
      </c>
      <c r="G15" s="4" t="s">
        <v>46</v>
      </c>
      <c r="H15" s="5">
        <v>523620.03</v>
      </c>
      <c r="I15" s="5">
        <v>55660.800000000003</v>
      </c>
    </row>
    <row r="16" spans="1:9" x14ac:dyDescent="0.3">
      <c r="A16" s="4" t="s">
        <v>34</v>
      </c>
      <c r="B16" s="5">
        <v>108637.82</v>
      </c>
      <c r="C16" s="5">
        <v>15555.789999999999</v>
      </c>
      <c r="G16" s="4" t="s">
        <v>48</v>
      </c>
      <c r="H16" s="5">
        <v>696037.13000000012</v>
      </c>
      <c r="I16" s="5">
        <v>78403.280000000028</v>
      </c>
    </row>
    <row r="17" spans="1:9" x14ac:dyDescent="0.3">
      <c r="A17" s="4" t="s">
        <v>24</v>
      </c>
      <c r="B17" s="5">
        <v>68859.520000000004</v>
      </c>
      <c r="C17" s="5">
        <v>8013.45</v>
      </c>
      <c r="G17" s="4" t="s">
        <v>57</v>
      </c>
      <c r="H17" s="5">
        <v>2382948.39</v>
      </c>
      <c r="I17" s="5">
        <v>291405.67</v>
      </c>
    </row>
    <row r="18" spans="1:9" x14ac:dyDescent="0.3">
      <c r="A18" s="4" t="s">
        <v>36</v>
      </c>
      <c r="B18" s="5">
        <v>48129.590000000004</v>
      </c>
      <c r="C18" s="5">
        <v>5203.4399999999996</v>
      </c>
    </row>
    <row r="19" spans="1:9" x14ac:dyDescent="0.3">
      <c r="A19" s="4" t="s">
        <v>23</v>
      </c>
      <c r="B19" s="5">
        <v>95418.72</v>
      </c>
      <c r="C19" s="5">
        <v>11706.54</v>
      </c>
      <c r="G19" s="4" t="s">
        <v>65</v>
      </c>
    </row>
    <row r="20" spans="1:9" x14ac:dyDescent="0.3">
      <c r="A20" s="4" t="s">
        <v>35</v>
      </c>
      <c r="B20" s="5">
        <v>47243.130000000005</v>
      </c>
      <c r="C20" s="5">
        <v>6193.9800000000005</v>
      </c>
      <c r="G20" s="3" t="s">
        <v>56</v>
      </c>
      <c r="H20" t="s">
        <v>58</v>
      </c>
      <c r="I20" t="s">
        <v>59</v>
      </c>
    </row>
    <row r="21" spans="1:9" x14ac:dyDescent="0.3">
      <c r="A21" s="4" t="s">
        <v>29</v>
      </c>
      <c r="B21" s="5">
        <v>127336.67000000001</v>
      </c>
      <c r="C21" s="5">
        <v>15598.17</v>
      </c>
      <c r="G21" s="4" t="s">
        <v>49</v>
      </c>
      <c r="H21" s="5">
        <v>2382948.3900000011</v>
      </c>
      <c r="I21" s="5">
        <v>291405.6700000001</v>
      </c>
    </row>
    <row r="22" spans="1:9" x14ac:dyDescent="0.3">
      <c r="A22" s="4" t="s">
        <v>41</v>
      </c>
      <c r="B22" s="5">
        <v>132838.58000000002</v>
      </c>
      <c r="C22" s="5">
        <v>19494.599999999999</v>
      </c>
      <c r="G22" s="4" t="s">
        <v>57</v>
      </c>
      <c r="H22" s="5">
        <v>2382948.3900000011</v>
      </c>
      <c r="I22" s="5">
        <v>291405.6700000001</v>
      </c>
    </row>
    <row r="23" spans="1:9" x14ac:dyDescent="0.3">
      <c r="A23" s="4" t="s">
        <v>28</v>
      </c>
      <c r="B23" s="5">
        <v>82774.540000000008</v>
      </c>
      <c r="C23" s="5">
        <v>10568.25</v>
      </c>
    </row>
    <row r="24" spans="1:9" x14ac:dyDescent="0.3">
      <c r="A24" s="4" t="s">
        <v>40</v>
      </c>
      <c r="B24" s="5">
        <v>139879.10999999999</v>
      </c>
      <c r="C24" s="5">
        <v>18139.400000000001</v>
      </c>
    </row>
    <row r="25" spans="1:9" x14ac:dyDescent="0.3">
      <c r="A25" s="4" t="s">
        <v>25</v>
      </c>
      <c r="B25" s="5">
        <v>68980.739999999991</v>
      </c>
      <c r="C25" s="5">
        <v>8860.2000000000007</v>
      </c>
    </row>
    <row r="26" spans="1:9" x14ac:dyDescent="0.3">
      <c r="A26" s="4" t="s">
        <v>37</v>
      </c>
      <c r="B26" s="5">
        <v>68661.14</v>
      </c>
      <c r="C26" s="5">
        <v>7961.91</v>
      </c>
    </row>
    <row r="27" spans="1:9" x14ac:dyDescent="0.3">
      <c r="A27" s="4" t="s">
        <v>27</v>
      </c>
      <c r="B27" s="5">
        <v>132437.72999999998</v>
      </c>
      <c r="C27" s="5">
        <v>18363.769999999997</v>
      </c>
    </row>
    <row r="28" spans="1:9" x14ac:dyDescent="0.3">
      <c r="A28" s="4" t="s">
        <v>39</v>
      </c>
      <c r="B28" s="5">
        <v>97377.95</v>
      </c>
      <c r="C28" s="5">
        <v>10507.57</v>
      </c>
    </row>
    <row r="29" spans="1:9" x14ac:dyDescent="0.3">
      <c r="A29" s="4" t="s">
        <v>33</v>
      </c>
      <c r="B29" s="5">
        <v>154273.15</v>
      </c>
      <c r="C29" s="5">
        <v>19082.009999999998</v>
      </c>
    </row>
    <row r="30" spans="1:9" x14ac:dyDescent="0.3">
      <c r="A30" s="4" t="s">
        <v>32</v>
      </c>
      <c r="B30" s="5">
        <v>51163.25</v>
      </c>
      <c r="C30" s="5">
        <v>6653.35</v>
      </c>
    </row>
    <row r="31" spans="1:9" x14ac:dyDescent="0.3">
      <c r="A31" s="4" t="s">
        <v>44</v>
      </c>
      <c r="B31" s="5">
        <v>197445.87</v>
      </c>
      <c r="C31" s="5">
        <v>20934.479999999996</v>
      </c>
    </row>
    <row r="32" spans="1:9" x14ac:dyDescent="0.3">
      <c r="A32" s="4" t="s">
        <v>31</v>
      </c>
      <c r="B32" s="5">
        <v>188043.33000000002</v>
      </c>
      <c r="C32" s="5">
        <v>18659.760000000002</v>
      </c>
    </row>
    <row r="33" spans="1:6" x14ac:dyDescent="0.3">
      <c r="A33" s="4" t="s">
        <v>43</v>
      </c>
      <c r="B33" s="5">
        <v>116104.91</v>
      </c>
      <c r="C33" s="5">
        <v>14781.71</v>
      </c>
    </row>
    <row r="34" spans="1:6" x14ac:dyDescent="0.3">
      <c r="A34" s="4" t="s">
        <v>57</v>
      </c>
      <c r="B34" s="5">
        <v>2382948.3899999997</v>
      </c>
      <c r="C34" s="5">
        <v>291405.67000000004</v>
      </c>
    </row>
    <row r="36" spans="1:6" x14ac:dyDescent="0.3">
      <c r="A36" s="4" t="s">
        <v>67</v>
      </c>
    </row>
    <row r="37" spans="1:6" x14ac:dyDescent="0.3">
      <c r="A37" s="3" t="s">
        <v>58</v>
      </c>
      <c r="B37" s="3" t="s">
        <v>66</v>
      </c>
    </row>
    <row r="38" spans="1:6" x14ac:dyDescent="0.3">
      <c r="A38" s="3" t="s">
        <v>56</v>
      </c>
      <c r="B38" t="s">
        <v>47</v>
      </c>
      <c r="C38" t="s">
        <v>45</v>
      </c>
      <c r="D38" t="s">
        <v>46</v>
      </c>
      <c r="E38" t="s">
        <v>48</v>
      </c>
      <c r="F38" t="s">
        <v>57</v>
      </c>
    </row>
    <row r="39" spans="1:6" x14ac:dyDescent="0.3">
      <c r="A39" s="4" t="s">
        <v>26</v>
      </c>
      <c r="B39" s="5">
        <v>46753.84</v>
      </c>
      <c r="C39" s="5">
        <v>26047.56</v>
      </c>
      <c r="D39" s="5">
        <v>32805.85</v>
      </c>
      <c r="E39" s="5">
        <v>41876.559999999998</v>
      </c>
      <c r="F39" s="5">
        <v>147483.81</v>
      </c>
    </row>
    <row r="40" spans="1:6" x14ac:dyDescent="0.3">
      <c r="A40" s="4" t="s">
        <v>38</v>
      </c>
      <c r="B40" s="5">
        <v>30673.09</v>
      </c>
      <c r="C40" s="5">
        <v>11556.8</v>
      </c>
      <c r="D40" s="5">
        <v>2139.81</v>
      </c>
      <c r="E40" s="5">
        <v>39139.58</v>
      </c>
      <c r="F40" s="5">
        <v>83509.279999999999</v>
      </c>
    </row>
    <row r="41" spans="1:6" x14ac:dyDescent="0.3">
      <c r="A41" s="4" t="s">
        <v>30</v>
      </c>
      <c r="B41" s="5">
        <v>11166.97</v>
      </c>
      <c r="C41" s="5">
        <v>31852.14</v>
      </c>
      <c r="D41" s="5">
        <v>14846.91</v>
      </c>
      <c r="E41" s="5">
        <v>32163.14</v>
      </c>
      <c r="F41" s="5">
        <v>90029.16</v>
      </c>
    </row>
    <row r="42" spans="1:6" x14ac:dyDescent="0.3">
      <c r="A42" s="4" t="s">
        <v>42</v>
      </c>
      <c r="B42" s="5">
        <v>9993.4699999999993</v>
      </c>
      <c r="C42" s="5">
        <v>55273.31</v>
      </c>
      <c r="D42" s="5">
        <v>36632.03</v>
      </c>
      <c r="E42" s="5">
        <v>34421.58</v>
      </c>
      <c r="F42" s="5">
        <v>136320.39000000001</v>
      </c>
    </row>
    <row r="43" spans="1:6" x14ac:dyDescent="0.3">
      <c r="A43" s="4" t="s">
        <v>34</v>
      </c>
      <c r="B43" s="5">
        <v>51326.68</v>
      </c>
      <c r="C43" s="5">
        <v>5956.76</v>
      </c>
      <c r="D43" s="5">
        <v>18753.27</v>
      </c>
      <c r="E43" s="5">
        <v>32601.11</v>
      </c>
      <c r="F43" s="5">
        <v>108637.82</v>
      </c>
    </row>
    <row r="44" spans="1:6" x14ac:dyDescent="0.3">
      <c r="A44" s="4" t="s">
        <v>24</v>
      </c>
      <c r="B44" s="5">
        <v>28585.47</v>
      </c>
      <c r="C44" s="5">
        <v>9375.67</v>
      </c>
      <c r="D44" s="5">
        <v>22720.87</v>
      </c>
      <c r="E44" s="5">
        <v>8177.51</v>
      </c>
      <c r="F44" s="5">
        <v>68859.51999999999</v>
      </c>
    </row>
    <row r="45" spans="1:6" x14ac:dyDescent="0.3">
      <c r="A45" s="4" t="s">
        <v>36</v>
      </c>
      <c r="B45" s="5">
        <v>1243.55</v>
      </c>
      <c r="C45" s="5">
        <v>9978.64</v>
      </c>
      <c r="D45" s="5">
        <v>3448.92</v>
      </c>
      <c r="E45" s="5">
        <v>33458.480000000003</v>
      </c>
      <c r="F45" s="5">
        <v>48129.590000000004</v>
      </c>
    </row>
    <row r="46" spans="1:6" x14ac:dyDescent="0.3">
      <c r="A46" s="4" t="s">
        <v>23</v>
      </c>
      <c r="B46" s="5">
        <v>16479.009999999998</v>
      </c>
      <c r="C46" s="5">
        <v>19683.87</v>
      </c>
      <c r="D46" s="5">
        <v>3501.38</v>
      </c>
      <c r="E46" s="5">
        <v>55754.46</v>
      </c>
      <c r="F46" s="5">
        <v>95418.72</v>
      </c>
    </row>
    <row r="47" spans="1:6" x14ac:dyDescent="0.3">
      <c r="A47" s="4" t="s">
        <v>35</v>
      </c>
      <c r="B47" s="5">
        <v>30255.040000000001</v>
      </c>
      <c r="C47" s="5">
        <v>8781.61</v>
      </c>
      <c r="D47" s="5">
        <v>3825.39</v>
      </c>
      <c r="E47" s="5">
        <v>4381.09</v>
      </c>
      <c r="F47" s="5">
        <v>47243.130000000005</v>
      </c>
    </row>
    <row r="48" spans="1:6" x14ac:dyDescent="0.3">
      <c r="A48" s="4" t="s">
        <v>29</v>
      </c>
      <c r="B48" s="5">
        <v>10390.5</v>
      </c>
      <c r="C48" s="5">
        <v>15838.46</v>
      </c>
      <c r="D48" s="5">
        <v>78361.210000000006</v>
      </c>
      <c r="E48" s="5">
        <v>22746.5</v>
      </c>
      <c r="F48" s="5">
        <v>127336.67000000001</v>
      </c>
    </row>
    <row r="49" spans="1:6" x14ac:dyDescent="0.3">
      <c r="A49" s="4" t="s">
        <v>41</v>
      </c>
      <c r="B49" s="5">
        <v>23727.200000000001</v>
      </c>
      <c r="C49" s="5">
        <v>69210.97</v>
      </c>
      <c r="D49" s="5">
        <v>14788.11</v>
      </c>
      <c r="E49" s="5">
        <v>25112.3</v>
      </c>
      <c r="F49" s="5">
        <v>132838.57999999999</v>
      </c>
    </row>
    <row r="50" spans="1:6" x14ac:dyDescent="0.3">
      <c r="A50" s="4" t="s">
        <v>28</v>
      </c>
      <c r="B50" s="5">
        <v>33850.620000000003</v>
      </c>
      <c r="C50" s="5">
        <v>28878.54</v>
      </c>
      <c r="D50" s="5">
        <v>7406.65</v>
      </c>
      <c r="E50" s="5">
        <v>12638.73</v>
      </c>
      <c r="F50" s="5">
        <v>82774.539999999994</v>
      </c>
    </row>
    <row r="51" spans="1:6" x14ac:dyDescent="0.3">
      <c r="A51" s="4" t="s">
        <v>40</v>
      </c>
      <c r="B51" s="5">
        <v>50499.199999999997</v>
      </c>
      <c r="C51" s="5">
        <v>11116.75</v>
      </c>
      <c r="D51" s="5">
        <v>65080.41</v>
      </c>
      <c r="E51" s="5">
        <v>13182.75</v>
      </c>
      <c r="F51" s="5">
        <v>139879.10999999999</v>
      </c>
    </row>
    <row r="52" spans="1:6" x14ac:dyDescent="0.3">
      <c r="A52" s="4" t="s">
        <v>25</v>
      </c>
      <c r="B52" s="5">
        <v>29253.88</v>
      </c>
      <c r="C52" s="5">
        <v>8049.84</v>
      </c>
      <c r="D52" s="5">
        <v>3162.37</v>
      </c>
      <c r="E52" s="5">
        <v>28514.65</v>
      </c>
      <c r="F52" s="5">
        <v>68980.740000000005</v>
      </c>
    </row>
    <row r="53" spans="1:6" x14ac:dyDescent="0.3">
      <c r="A53" s="4" t="s">
        <v>37</v>
      </c>
      <c r="B53" s="5">
        <v>7583.57</v>
      </c>
      <c r="C53" s="5">
        <v>9905.5</v>
      </c>
      <c r="D53" s="5">
        <v>42440.800000000003</v>
      </c>
      <c r="E53" s="5">
        <v>8731.27</v>
      </c>
      <c r="F53" s="5">
        <v>68661.14</v>
      </c>
    </row>
    <row r="54" spans="1:6" x14ac:dyDescent="0.3">
      <c r="A54" s="4" t="s">
        <v>27</v>
      </c>
      <c r="B54" s="5">
        <v>40962.370000000003</v>
      </c>
      <c r="C54" s="5">
        <v>9402.26</v>
      </c>
      <c r="D54" s="5">
        <v>15128.95</v>
      </c>
      <c r="E54" s="5">
        <v>66944.149999999994</v>
      </c>
      <c r="F54" s="5">
        <v>132437.72999999998</v>
      </c>
    </row>
    <row r="55" spans="1:6" x14ac:dyDescent="0.3">
      <c r="A55" s="4" t="s">
        <v>39</v>
      </c>
      <c r="B55" s="5">
        <v>10536.73</v>
      </c>
      <c r="C55" s="5">
        <v>53746.27</v>
      </c>
      <c r="D55" s="5">
        <v>7636.25</v>
      </c>
      <c r="E55" s="5">
        <v>25458.7</v>
      </c>
      <c r="F55" s="5">
        <v>97377.95</v>
      </c>
    </row>
    <row r="56" spans="1:6" x14ac:dyDescent="0.3">
      <c r="A56" s="4" t="s">
        <v>33</v>
      </c>
      <c r="B56" s="5">
        <v>26460.59</v>
      </c>
      <c r="C56" s="5">
        <v>60271.25</v>
      </c>
      <c r="D56" s="5">
        <v>26553.01</v>
      </c>
      <c r="E56" s="5">
        <v>40988.300000000003</v>
      </c>
      <c r="F56" s="5">
        <v>154273.15</v>
      </c>
    </row>
    <row r="57" spans="1:6" x14ac:dyDescent="0.3">
      <c r="A57" s="4" t="s">
        <v>32</v>
      </c>
      <c r="B57" s="5">
        <v>5068.96</v>
      </c>
      <c r="C57" s="5">
        <v>24401.73</v>
      </c>
      <c r="D57" s="5">
        <v>5973.41</v>
      </c>
      <c r="E57" s="5">
        <v>15719.15</v>
      </c>
      <c r="F57" s="5">
        <v>51163.25</v>
      </c>
    </row>
    <row r="58" spans="1:6" x14ac:dyDescent="0.3">
      <c r="A58" s="4" t="s">
        <v>44</v>
      </c>
      <c r="B58" s="5">
        <v>77454.22</v>
      </c>
      <c r="C58" s="5">
        <v>22140.03</v>
      </c>
      <c r="D58" s="5">
        <v>58294.879999999997</v>
      </c>
      <c r="E58" s="5">
        <v>39556.74</v>
      </c>
      <c r="F58" s="5">
        <v>197445.87</v>
      </c>
    </row>
    <row r="59" spans="1:6" x14ac:dyDescent="0.3">
      <c r="A59" s="4" t="s">
        <v>31</v>
      </c>
      <c r="B59" s="5">
        <v>23552.78</v>
      </c>
      <c r="C59" s="5">
        <v>50382.48</v>
      </c>
      <c r="D59" s="5">
        <v>56731.34</v>
      </c>
      <c r="E59" s="5">
        <v>57376.73</v>
      </c>
      <c r="F59" s="5">
        <v>188043.33000000002</v>
      </c>
    </row>
    <row r="60" spans="1:6" x14ac:dyDescent="0.3">
      <c r="A60" s="4" t="s">
        <v>43</v>
      </c>
      <c r="B60" s="5">
        <v>42192.91</v>
      </c>
      <c r="C60" s="5">
        <v>13430.14</v>
      </c>
      <c r="D60" s="5">
        <v>3388.21</v>
      </c>
      <c r="E60" s="5">
        <v>57093.65</v>
      </c>
      <c r="F60" s="5">
        <v>116104.91</v>
      </c>
    </row>
    <row r="61" spans="1:6" x14ac:dyDescent="0.3">
      <c r="A61" s="4" t="s">
        <v>57</v>
      </c>
      <c r="B61" s="5">
        <v>608010.65000000014</v>
      </c>
      <c r="C61" s="5">
        <v>555280.57999999996</v>
      </c>
      <c r="D61" s="5">
        <v>523620.02999999997</v>
      </c>
      <c r="E61" s="5">
        <v>696037.13</v>
      </c>
      <c r="F61" s="5">
        <v>2382948.3899999997</v>
      </c>
    </row>
  </sheetData>
  <pageMargins left="0.7" right="0.7" top="0.75" bottom="0.75" header="0.3" footer="0.3"/>
  <pageSetup paperSize="9"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C42C-A4E8-475C-845D-39145EB52111}">
  <dimension ref="A1:N22"/>
  <sheetViews>
    <sheetView zoomScale="134" workbookViewId="0">
      <selection activeCell="N11" sqref="N11"/>
    </sheetView>
  </sheetViews>
  <sheetFormatPr defaultRowHeight="14.4" x14ac:dyDescent="0.3"/>
  <sheetData>
    <row r="1" spans="1:14" ht="13.8" customHeight="1" x14ac:dyDescent="0.3">
      <c r="A1" s="8"/>
      <c r="B1" s="8"/>
      <c r="C1" s="8"/>
      <c r="D1" s="8"/>
      <c r="E1" s="8"/>
      <c r="F1" s="8"/>
      <c r="G1" s="8"/>
      <c r="H1" s="8"/>
      <c r="I1" s="8"/>
      <c r="J1" s="8"/>
      <c r="K1" s="8"/>
      <c r="L1" s="8"/>
      <c r="M1" s="8"/>
      <c r="N1" s="8"/>
    </row>
    <row r="2" spans="1:14" x14ac:dyDescent="0.3">
      <c r="A2" s="8"/>
      <c r="B2" s="8"/>
      <c r="C2" s="8"/>
      <c r="D2" s="8"/>
      <c r="E2" s="8"/>
      <c r="F2" s="8"/>
      <c r="G2" s="8"/>
      <c r="H2" s="8"/>
      <c r="I2" s="8"/>
      <c r="J2" s="8"/>
      <c r="K2" s="8"/>
      <c r="L2" s="8"/>
      <c r="M2" s="8"/>
      <c r="N2" s="8"/>
    </row>
    <row r="3" spans="1:14" x14ac:dyDescent="0.3">
      <c r="A3" s="8"/>
      <c r="B3" s="8"/>
      <c r="C3" s="8"/>
      <c r="D3" s="8"/>
      <c r="E3" s="8"/>
      <c r="F3" s="8"/>
      <c r="G3" s="8"/>
      <c r="H3" s="8"/>
      <c r="I3" s="8"/>
      <c r="J3" s="8"/>
      <c r="K3" s="8"/>
      <c r="L3" s="8"/>
      <c r="M3" s="8"/>
      <c r="N3" s="8"/>
    </row>
    <row r="4" spans="1:14" x14ac:dyDescent="0.3">
      <c r="A4" s="8"/>
      <c r="B4" s="8"/>
      <c r="C4" s="8"/>
      <c r="D4" s="8"/>
      <c r="E4" s="8"/>
      <c r="F4" s="8"/>
      <c r="G4" s="8"/>
      <c r="H4" s="8"/>
      <c r="I4" s="8"/>
      <c r="J4" s="8"/>
      <c r="K4" s="8"/>
      <c r="L4" s="8"/>
      <c r="M4" s="8"/>
      <c r="N4" s="8"/>
    </row>
    <row r="5" spans="1:14" x14ac:dyDescent="0.3">
      <c r="A5" s="8"/>
      <c r="B5" s="8"/>
      <c r="C5" s="8"/>
      <c r="D5" s="8"/>
      <c r="E5" s="8"/>
      <c r="F5" s="8"/>
      <c r="G5" s="8"/>
      <c r="H5" s="8"/>
      <c r="I5" s="8"/>
      <c r="J5" s="8"/>
      <c r="K5" s="8"/>
      <c r="L5" s="8"/>
      <c r="M5" s="8"/>
      <c r="N5" s="8"/>
    </row>
    <row r="6" spans="1:14" x14ac:dyDescent="0.3">
      <c r="A6" s="8"/>
      <c r="B6" s="8"/>
      <c r="C6" s="8"/>
      <c r="D6" s="8"/>
      <c r="E6" s="8"/>
      <c r="F6" s="8"/>
      <c r="G6" s="8"/>
      <c r="H6" s="8"/>
      <c r="I6" s="8"/>
      <c r="J6" s="9"/>
      <c r="K6" s="8"/>
      <c r="L6" s="8"/>
      <c r="M6" s="8"/>
      <c r="N6" s="8"/>
    </row>
    <row r="7" spans="1:14" x14ac:dyDescent="0.3">
      <c r="A7" s="8"/>
      <c r="B7" s="8"/>
      <c r="C7" s="8"/>
      <c r="D7" s="8"/>
      <c r="E7" s="8"/>
      <c r="F7" s="8"/>
      <c r="G7" s="8"/>
      <c r="H7" s="8"/>
      <c r="I7" s="8"/>
      <c r="J7" s="8"/>
      <c r="K7" s="8"/>
      <c r="L7" s="8"/>
      <c r="M7" s="8"/>
      <c r="N7" s="8"/>
    </row>
    <row r="8" spans="1:14" x14ac:dyDescent="0.3">
      <c r="A8" s="8"/>
      <c r="B8" s="8"/>
      <c r="C8" s="8"/>
      <c r="D8" s="8"/>
      <c r="E8" s="8"/>
      <c r="F8" s="8"/>
      <c r="G8" s="8"/>
      <c r="H8" s="8"/>
      <c r="I8" s="8"/>
      <c r="J8" s="8"/>
      <c r="K8" s="8"/>
      <c r="L8" s="8"/>
      <c r="M8" s="8"/>
      <c r="N8" s="8"/>
    </row>
    <row r="9" spans="1:14" x14ac:dyDescent="0.3">
      <c r="A9" s="8"/>
      <c r="B9" s="8"/>
      <c r="C9" s="8"/>
      <c r="D9" s="8"/>
      <c r="E9" s="8"/>
      <c r="F9" s="8"/>
      <c r="G9" s="8"/>
      <c r="H9" s="8"/>
      <c r="I9" s="8"/>
      <c r="J9" s="8"/>
      <c r="K9" s="8"/>
      <c r="L9" s="8"/>
      <c r="M9" s="8"/>
      <c r="N9" s="8"/>
    </row>
    <row r="10" spans="1:14" x14ac:dyDescent="0.3">
      <c r="A10" s="8"/>
      <c r="B10" s="8"/>
      <c r="C10" s="8"/>
      <c r="D10" s="8"/>
      <c r="E10" s="8"/>
      <c r="F10" s="8"/>
      <c r="G10" s="8"/>
      <c r="H10" s="8"/>
      <c r="I10" s="8"/>
      <c r="J10" s="8"/>
      <c r="K10" s="8"/>
      <c r="L10" s="8"/>
      <c r="M10" s="8"/>
      <c r="N10" s="8"/>
    </row>
    <row r="11" spans="1:14" x14ac:dyDescent="0.3">
      <c r="A11" s="8"/>
      <c r="B11" s="8"/>
      <c r="C11" s="8"/>
      <c r="D11" s="8"/>
      <c r="E11" s="8"/>
      <c r="F11" s="8"/>
      <c r="G11" s="8"/>
      <c r="H11" s="8"/>
      <c r="I11" s="8"/>
      <c r="J11" s="8"/>
      <c r="K11" s="8"/>
      <c r="L11" s="8"/>
      <c r="M11" s="8"/>
      <c r="N11" s="8"/>
    </row>
    <row r="12" spans="1:14" x14ac:dyDescent="0.3">
      <c r="A12" s="8"/>
      <c r="B12" s="8"/>
      <c r="C12" s="8"/>
      <c r="D12" s="8"/>
      <c r="E12" s="8"/>
      <c r="F12" s="8"/>
      <c r="G12" s="8"/>
      <c r="H12" s="8"/>
      <c r="I12" s="8"/>
      <c r="J12" s="8"/>
      <c r="K12" s="8"/>
      <c r="L12" s="8"/>
      <c r="M12" s="8"/>
      <c r="N12" s="8"/>
    </row>
    <row r="13" spans="1:14" x14ac:dyDescent="0.3">
      <c r="A13" s="8"/>
      <c r="B13" s="8"/>
      <c r="C13" s="8"/>
      <c r="D13" s="8"/>
      <c r="E13" s="8"/>
      <c r="F13" s="8"/>
      <c r="G13" s="8"/>
      <c r="H13" s="8"/>
      <c r="I13" s="8"/>
      <c r="J13" s="8"/>
      <c r="K13" s="8"/>
      <c r="L13" s="8"/>
      <c r="M13" s="8"/>
      <c r="N13" s="8"/>
    </row>
    <row r="14" spans="1:14" x14ac:dyDescent="0.3">
      <c r="A14" s="8"/>
      <c r="B14" s="8"/>
      <c r="C14" s="8"/>
      <c r="D14" s="8"/>
      <c r="E14" s="8"/>
      <c r="F14" s="8"/>
      <c r="G14" s="8"/>
      <c r="H14" s="8"/>
      <c r="I14" s="8"/>
      <c r="J14" s="8"/>
      <c r="K14" s="8"/>
      <c r="L14" s="8"/>
      <c r="M14" s="8"/>
      <c r="N14" s="8"/>
    </row>
    <row r="15" spans="1:14" x14ac:dyDescent="0.3">
      <c r="A15" s="8"/>
      <c r="B15" s="8"/>
      <c r="C15" s="8"/>
      <c r="D15" s="8"/>
      <c r="E15" s="8"/>
      <c r="F15" s="8"/>
      <c r="G15" s="8"/>
      <c r="H15" s="8"/>
      <c r="I15" s="8"/>
      <c r="J15" s="8"/>
      <c r="K15" s="8"/>
      <c r="L15" s="8"/>
      <c r="M15" s="8"/>
      <c r="N15" s="8"/>
    </row>
    <row r="16" spans="1:14" x14ac:dyDescent="0.3">
      <c r="A16" s="8"/>
      <c r="B16" s="8"/>
      <c r="C16" s="8"/>
      <c r="D16" s="8"/>
      <c r="E16" s="8"/>
      <c r="F16" s="8"/>
      <c r="G16" s="8"/>
      <c r="H16" s="8"/>
      <c r="I16" s="8"/>
      <c r="J16" s="8"/>
      <c r="K16" s="8"/>
      <c r="L16" s="8"/>
      <c r="M16" s="8"/>
      <c r="N16" s="8"/>
    </row>
    <row r="17" spans="1:14" x14ac:dyDescent="0.3">
      <c r="A17" s="8"/>
      <c r="B17" s="8"/>
      <c r="C17" s="8"/>
      <c r="D17" s="8"/>
      <c r="E17" s="8"/>
      <c r="F17" s="8"/>
      <c r="G17" s="8"/>
      <c r="H17" s="8"/>
      <c r="I17" s="8"/>
      <c r="J17" s="8"/>
      <c r="K17" s="8"/>
      <c r="L17" s="8"/>
      <c r="M17" s="8"/>
      <c r="N17" s="8"/>
    </row>
    <row r="18" spans="1:14" x14ac:dyDescent="0.3">
      <c r="A18" s="8"/>
      <c r="B18" s="8"/>
      <c r="C18" s="8"/>
      <c r="D18" s="8"/>
      <c r="E18" s="8"/>
      <c r="F18" s="8"/>
      <c r="G18" s="8"/>
      <c r="H18" s="8"/>
      <c r="I18" s="8"/>
      <c r="J18" s="8"/>
      <c r="K18" s="8"/>
      <c r="L18" s="8"/>
      <c r="M18" s="8"/>
      <c r="N18" s="8"/>
    </row>
    <row r="19" spans="1:14" x14ac:dyDescent="0.3">
      <c r="A19" s="8"/>
      <c r="B19" s="8"/>
      <c r="C19" s="8"/>
      <c r="D19" s="8"/>
      <c r="E19" s="8"/>
      <c r="F19" s="8"/>
      <c r="G19" s="8"/>
      <c r="H19" s="8"/>
      <c r="I19" s="8"/>
      <c r="J19" s="8"/>
      <c r="K19" s="8"/>
      <c r="L19" s="8"/>
      <c r="M19" s="8"/>
      <c r="N19" s="8"/>
    </row>
    <row r="20" spans="1:14" x14ac:dyDescent="0.3">
      <c r="A20" s="8"/>
      <c r="B20" s="8"/>
      <c r="C20" s="8"/>
      <c r="D20" s="8"/>
      <c r="E20" s="8"/>
      <c r="F20" s="8"/>
      <c r="G20" s="8"/>
      <c r="H20" s="8"/>
      <c r="I20" s="8"/>
      <c r="J20" s="8"/>
      <c r="K20" s="8"/>
      <c r="L20" s="8"/>
      <c r="M20" s="8"/>
      <c r="N20" s="8"/>
    </row>
    <row r="21" spans="1:14" x14ac:dyDescent="0.3">
      <c r="A21" s="8"/>
      <c r="B21" s="8"/>
      <c r="C21" s="8"/>
      <c r="D21" s="8"/>
      <c r="E21" s="8"/>
      <c r="F21" s="8"/>
      <c r="G21" s="8"/>
      <c r="H21" s="8"/>
      <c r="I21" s="8"/>
      <c r="J21" s="8"/>
      <c r="K21" s="8"/>
      <c r="L21" s="8"/>
      <c r="M21" s="8"/>
      <c r="N21" s="8"/>
    </row>
    <row r="22" spans="1:14" x14ac:dyDescent="0.3">
      <c r="A22" s="8"/>
      <c r="B22" s="8"/>
      <c r="C22" s="8"/>
      <c r="D22" s="8"/>
      <c r="E22" s="8"/>
      <c r="F22" s="8"/>
      <c r="G22" s="8"/>
      <c r="H22" s="8"/>
      <c r="I22" s="8"/>
      <c r="J22" s="8"/>
      <c r="K22" s="8"/>
      <c r="L22" s="8"/>
      <c r="M22" s="8"/>
      <c r="N22"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25C3B1-1CCC-44C7-BE47-9F87472CDE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Ritik</cp:lastModifiedBy>
  <dcterms:created xsi:type="dcterms:W3CDTF">2025-10-17T05:41:23Z</dcterms:created>
  <dcterms:modified xsi:type="dcterms:W3CDTF">2025-10-24T12:47:49Z</dcterms:modified>
</cp:coreProperties>
</file>